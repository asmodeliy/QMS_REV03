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66925"/>
  <mc:AlternateContent xmlns:mc="http://schemas.openxmlformats.org/markup-compatibility/2006">
    <mc:Choice Requires="x15">
      <x15ac:absPath xmlns:x15ac="http://schemas.microsoft.com/office/spreadsheetml/2010/11/ac" url="https://ramschip.sharepoint.com/sites/IPDocumentcenter/Shared Documents/■ IR Check sheet/Ethernet PHY/"/>
    </mc:Choice>
  </mc:AlternateContent>
  <xr:revisionPtr revIDLastSave="351" documentId="14_{4167628F-2681-4B6C-AD5C-256B792F889F}" xr6:coauthVersionLast="47" xr6:coauthVersionMax="47" xr10:uidLastSave="{C3005EA2-512E-4696-BB6C-8C15D7FDD109}"/>
  <bookViews>
    <workbookView xWindow="28680" yWindow="-120" windowWidth="51840" windowHeight="21120" xr2:uid="{613300CC-291C-4065-8E3E-A91DF5A5D310}"/>
  </bookViews>
  <sheets>
    <sheet name="IR checklist" sheetId="2" r:id="rId1"/>
    <sheet name="1. Power sequence" sheetId="4"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8" i="2" l="1"/>
  <c r="L7" i="2"/>
  <c r="L6" i="2"/>
  <c r="L5" i="2"/>
  <c r="L9" i="2" l="1"/>
  <c r="I8" i="2"/>
  <c r="I7" i="2"/>
  <c r="I6" i="2"/>
  <c r="I5" i="2"/>
  <c r="I9" i="2" l="1"/>
</calcChain>
</file>

<file path=xl/sharedStrings.xml><?xml version="1.0" encoding="utf-8"?>
<sst xmlns="http://schemas.openxmlformats.org/spreadsheetml/2006/main" count="323" uniqueCount="177">
  <si>
    <t xml:space="preserve">Ramschip,Inc Confidential </t>
    <phoneticPr fontId="1" type="noConversion"/>
  </si>
  <si>
    <t>1. BASIC INFORMATION</t>
    <phoneticPr fontId="1" type="noConversion"/>
  </si>
  <si>
    <t>COLOR DESCRIPTION (ITEM)</t>
    <phoneticPr fontId="1" type="noConversion"/>
  </si>
  <si>
    <t>SCORE</t>
    <phoneticPr fontId="1" type="noConversion"/>
  </si>
  <si>
    <t>Process</t>
    <phoneticPr fontId="1" type="noConversion"/>
  </si>
  <si>
    <t>SF 5nm LPE</t>
    <phoneticPr fontId="1" type="noConversion"/>
  </si>
  <si>
    <t>Item</t>
    <phoneticPr fontId="1" type="noConversion"/>
  </si>
  <si>
    <t>PASS</t>
    <phoneticPr fontId="1" type="noConversion"/>
  </si>
  <si>
    <t>Project name</t>
    <phoneticPr fontId="1" type="noConversion"/>
  </si>
  <si>
    <t>For Project Manager or SOC (Block Top)</t>
    <phoneticPr fontId="1" type="noConversion"/>
  </si>
  <si>
    <t>NG</t>
    <phoneticPr fontId="1" type="noConversion"/>
  </si>
  <si>
    <t>Customer</t>
    <phoneticPr fontId="1" type="noConversion"/>
  </si>
  <si>
    <t>Telechips</t>
    <phoneticPr fontId="1" type="noConversion"/>
  </si>
  <si>
    <t>For Logical Designer(RTL)</t>
    <phoneticPr fontId="1" type="noConversion"/>
  </si>
  <si>
    <t>N.A</t>
    <phoneticPr fontId="1" type="noConversion"/>
  </si>
  <si>
    <t>Application</t>
    <phoneticPr fontId="1" type="noConversion"/>
  </si>
  <si>
    <t>For Physical Designer(Layout - Physical Design)</t>
    <phoneticPr fontId="1" type="noConversion"/>
  </si>
  <si>
    <t>Not yet</t>
    <phoneticPr fontId="1" type="noConversion"/>
  </si>
  <si>
    <t>Project manager</t>
    <phoneticPr fontId="1" type="noConversion"/>
  </si>
  <si>
    <t>For Physical Designer(Physical Implementation)</t>
    <phoneticPr fontId="1" type="noConversion"/>
  </si>
  <si>
    <t>IP design classificaiton</t>
    <phoneticPr fontId="1" type="noConversion"/>
  </si>
  <si>
    <r>
      <rPr>
        <b/>
        <u/>
        <sz val="10"/>
        <color rgb="FF0070C0"/>
        <rFont val="맑은 고딕"/>
        <family val="3"/>
        <charset val="129"/>
        <scheme val="major"/>
      </rPr>
      <t>New design</t>
    </r>
    <r>
      <rPr>
        <b/>
        <sz val="10"/>
        <color theme="1"/>
        <rFont val="맑은 고딕"/>
        <family val="3"/>
        <charset val="129"/>
        <scheme val="major"/>
      </rPr>
      <t xml:space="preserve"> / Modification</t>
    </r>
    <phoneticPr fontId="1" type="noConversion"/>
  </si>
  <si>
    <t>QA manager</t>
    <phoneticPr fontId="1" type="noConversion"/>
  </si>
  <si>
    <t>Target Design review</t>
    <phoneticPr fontId="1" type="noConversion"/>
  </si>
  <si>
    <t>MTO Schedule</t>
    <phoneticPr fontId="1" type="noConversion"/>
  </si>
  <si>
    <t>2. DESIGN CHECK SHEET</t>
    <phoneticPr fontId="1" type="noConversion"/>
  </si>
  <si>
    <t>VER. 1.0</t>
    <phoneticPr fontId="1" type="noConversion"/>
  </si>
  <si>
    <t>CATEGORY</t>
    <phoneticPr fontId="1" type="noConversion"/>
  </si>
  <si>
    <t>ITEM</t>
    <phoneticPr fontId="1" type="noConversion"/>
  </si>
  <si>
    <t>CHECK POINT</t>
    <phoneticPr fontId="1" type="noConversion"/>
  </si>
  <si>
    <t>CHECK METHOD</t>
    <phoneticPr fontId="1" type="noConversion"/>
  </si>
  <si>
    <t>PRODUCT (PROJECT)</t>
    <phoneticPr fontId="1" type="noConversion"/>
  </si>
  <si>
    <t>IP</t>
    <phoneticPr fontId="1" type="noConversion"/>
  </si>
  <si>
    <t>CHECK RESULT</t>
    <phoneticPr fontId="1" type="noConversion"/>
  </si>
  <si>
    <t>NAME/DATE
(YY.MM.DD)</t>
    <phoneticPr fontId="1" type="noConversion"/>
  </si>
  <si>
    <t>NOTE</t>
    <phoneticPr fontId="1" type="noConversion"/>
  </si>
  <si>
    <t>Customer Request</t>
    <phoneticPr fontId="1" type="noConversion"/>
  </si>
  <si>
    <t xml:space="preserve">Process - Metal Stack	</t>
    <phoneticPr fontId="1" type="noConversion"/>
  </si>
  <si>
    <t>Is the metal stack (13M_4Mx_7Dx_2Iz_LB) finalized and GDS-level verified?</t>
    <phoneticPr fontId="1" type="noConversion"/>
  </si>
  <si>
    <t>Confirm layout GDS version, LVS/DRC signoff, and BE design guide compliance.</t>
    <phoneticPr fontId="1" type="noConversion"/>
  </si>
  <si>
    <t>Not yet</t>
  </si>
  <si>
    <t>Process - PDK Version</t>
    <phoneticPr fontId="1" type="noConversion"/>
  </si>
  <si>
    <t>Is the PDK version confirmed and used consistently across schematic, layout, and signoff</t>
    <phoneticPr fontId="1" type="noConversion"/>
  </si>
  <si>
    <t>Cross-check with DK release info and internal version control logs.</t>
    <phoneticPr fontId="1" type="noConversion"/>
  </si>
  <si>
    <t>Function - SGMII Support</t>
    <phoneticPr fontId="1" type="noConversion"/>
  </si>
  <si>
    <t>Does the IP support all required SGMII speeds (10/100/1000/2500 Mbps)?</t>
    <phoneticPr fontId="1" type="noConversion"/>
  </si>
  <si>
    <t>Confirm specification compliance and simulation/ATE verification for all SGMII modes.</t>
    <phoneticPr fontId="1" type="noConversion"/>
  </si>
  <si>
    <t>PASS</t>
  </si>
  <si>
    <t>rice &amp; issac / 25.09.22</t>
  </si>
  <si>
    <t>Function - Transmission Mode</t>
    <phoneticPr fontId="1" type="noConversion"/>
  </si>
  <si>
    <t>Does the IP support both full and half duplex operation?</t>
    <phoneticPr fontId="1" type="noConversion"/>
  </si>
  <si>
    <t>Review functional simulation and specification to confirm duplex handling.</t>
    <phoneticPr fontId="1" type="noConversion"/>
  </si>
  <si>
    <t>to do half duplex</t>
  </si>
  <si>
    <t>Function simulation</t>
    <phoneticPr fontId="1" type="noConversion"/>
  </si>
  <si>
    <t>Are the internal SerDes blocks properly implemented and functionally verified?</t>
    <phoneticPr fontId="1" type="noConversion"/>
  </si>
  <si>
    <t>Confirm RTL implementation and waveform dump for TX/RX SerDes path.</t>
    <phoneticPr fontId="1" type="noConversion"/>
  </si>
  <si>
    <t>Is internal PLL properly implemented and lock behavior validated?</t>
    <phoneticPr fontId="1" type="noConversion"/>
  </si>
  <si>
    <t>Confirm with PLL spec, lock time simulation, and stability check under PVT variation.</t>
    <phoneticPr fontId="1" type="noConversion"/>
  </si>
  <si>
    <t>Is PCS logic included and operation per spec?</t>
    <phoneticPr fontId="1" type="noConversion"/>
  </si>
  <si>
    <t>Review functional block diagram and simulation coverage on encoding/decoding, auto-negotiation, and link control.</t>
    <phoneticPr fontId="1" type="noConversion"/>
  </si>
  <si>
    <t>Are the GMII and APB interfaces functionally verified and compliant with IP-SoC spec?</t>
    <phoneticPr fontId="1" type="noConversion"/>
  </si>
  <si>
    <t>Confirm GMII data transfer with MAC and APB control behavior through simulation/STA.</t>
    <phoneticPr fontId="1" type="noConversion"/>
  </si>
  <si>
    <t>Is SGMII external interface verified for interoperability and timing requirements?</t>
    <phoneticPr fontId="1" type="noConversion"/>
  </si>
  <si>
    <t>Confirm through integration test (with external PHY), SGMII waveform view, and STA analysis on I/O timing.</t>
    <phoneticPr fontId="1" type="noConversion"/>
  </si>
  <si>
    <t>Is the reference clock (24 MHz / 156.25 MHz) selection logic implemented correctly and verified?</t>
    <phoneticPr fontId="1" type="noConversion"/>
  </si>
  <si>
    <t>Review RTL logic, clock mux control condition, and simulation to confirm correct input selection.</t>
    <phoneticPr fontId="1" type="noConversion"/>
  </si>
  <si>
    <t>Not yet external 156.25 MHz input</t>
  </si>
  <si>
    <t xml:space="preserve">Is ETH_CLK (up to 312.5MHz) properly generated and synchronized with system GMAC?	</t>
    <phoneticPr fontId="1" type="noConversion"/>
  </si>
  <si>
    <t>Confirm output frequency, duty cycle, and jitter analysis result.</t>
    <phoneticPr fontId="1" type="noConversion"/>
  </si>
  <si>
    <t>Is 156.25MHz differential output correctly generated from SERDES internal PLL and compliant with spec for external PHY usage?</t>
    <phoneticPr fontId="1" type="noConversion"/>
  </si>
  <si>
    <t>Confirm clock output swing, eye diagram (post-layout), and STA/EMIR clock tree analysis.</t>
    <phoneticPr fontId="1" type="noConversion"/>
  </si>
  <si>
    <t>Fundamental 
information</t>
    <phoneticPr fontId="1" type="noConversion"/>
  </si>
  <si>
    <t>Temperature &amp; Reliability check condition</t>
    <phoneticPr fontId="1" type="noConversion"/>
  </si>
  <si>
    <t>Is the chip operating temperature condition and life cycle checked?</t>
    <phoneticPr fontId="1" type="noConversion"/>
  </si>
  <si>
    <t>Review and make comments
 - Chip operating environment (mobile, automotive, network)
 - Junction temperature condition
 - The reliability(EM) cycle(time)</t>
    <phoneticPr fontId="1" type="noConversion"/>
  </si>
  <si>
    <t>IP Version check</t>
    <phoneticPr fontId="1" type="noConversion"/>
  </si>
  <si>
    <t>IP DK Version</t>
    <phoneticPr fontId="1" type="noConversion"/>
  </si>
  <si>
    <t>Check whether the version of the DB used is final (FE/BE/DOC)</t>
    <phoneticPr fontId="1" type="noConversion"/>
  </si>
  <si>
    <t>Have you used the latest version of DK from Rasmschip? 
Enter the name of the used DK and released date in column J, 'Note'</t>
    <phoneticPr fontId="1" type="noConversion"/>
  </si>
  <si>
    <t>Function check</t>
    <phoneticPr fontId="1" type="noConversion"/>
  </si>
  <si>
    <t>HTOL</t>
    <phoneticPr fontId="1" type="noConversion"/>
  </si>
  <si>
    <t>In full-chip level HTOL(SCAN) test mode, have you checked that the IP's inputs are set as conditions guaranteed by the UserGuide? Have you verified that the IP operates without any problem by simulation</t>
  </si>
  <si>
    <t>1) Please share dump file path and file name
2) Please share the IP's hierarchical information
3) Please share used waveform view &amp; version</t>
    <phoneticPr fontId="1" type="noConversion"/>
  </si>
  <si>
    <t>Use Internal Loopback Test in aging phase</t>
  </si>
  <si>
    <t>Power up check</t>
    <phoneticPr fontId="1" type="noConversion"/>
  </si>
  <si>
    <t>Is power-management sequence which is supplied to IP guaranteed in SoC?</t>
    <phoneticPr fontId="1" type="noConversion"/>
  </si>
  <si>
    <t>Please share the figure of the power sequence or dump file.
- If you share a dump file, please share file path / file name / IP's hierarchical information.
- If there is no figure or dump file, please make comments about power sequence(e.g. ALWAYS ON, ALIVE, etc.).</t>
    <phoneticPr fontId="1" type="noConversion"/>
  </si>
  <si>
    <t>Start up check</t>
    <phoneticPr fontId="1" type="noConversion"/>
  </si>
  <si>
    <t>IP start-up sequence check</t>
    <phoneticPr fontId="1" type="noConversion"/>
  </si>
  <si>
    <t>Power down check</t>
    <phoneticPr fontId="1" type="noConversion"/>
  </si>
  <si>
    <t>Power down sequence check</t>
    <phoneticPr fontId="1" type="noConversion"/>
  </si>
  <si>
    <t>Have you checked that the power sequence applied in the product follows the power sequence described in the Datasheet?</t>
    <phoneticPr fontId="1" type="noConversion"/>
  </si>
  <si>
    <t>Input control sequence during the operation</t>
    <phoneticPr fontId="1" type="noConversion"/>
  </si>
  <si>
    <t>Have you checked If there is the case that input control signals change while the IP is enabled and in normal operation? Is there any problem? Have you simulated the operation scenario with the verilog model in the real integration environment?</t>
  </si>
  <si>
    <t>Are the verification results in product level shared with IP designer? (IP normal scenario; RTL simulation or post simulation results under the actual product scenario)
Please check whether appropriate control and default value are applied through those Verilog simulations.</t>
    <phoneticPr fontId="1" type="noConversion"/>
  </si>
  <si>
    <t>Stand-by scenario during lock-time</t>
    <phoneticPr fontId="1" type="noConversion"/>
  </si>
  <si>
    <t>If the IP is a clock IP which outputs the target frequency after a certain time, have you checked whether this is reflected to the system implementation where the system waits for the lock time/settling time as specified in the Datasheet?</t>
  </si>
  <si>
    <t>Test mode verification</t>
    <phoneticPr fontId="1" type="noConversion"/>
  </si>
  <si>
    <t>Have you checked that, in the test mode for evaluating the IP's characteristics, the maximum frequency output to I/O is within the specified maximum operating speed of I/O? 
Write the maximum frequency output in column J 'Note'</t>
    <phoneticPr fontId="1" type="noConversion"/>
  </si>
  <si>
    <t>SFR Setting Check</t>
    <phoneticPr fontId="1" type="noConversion"/>
  </si>
  <si>
    <t xml:space="preserve">Are SFR setting values applied as the guide which is provided by IP designer? </t>
    <phoneticPr fontId="1" type="noConversion"/>
  </si>
  <si>
    <t>Please reviews it and attach confirmation email from IP designer</t>
    <phoneticPr fontId="1" type="noConversion"/>
  </si>
  <si>
    <t>Function - ATE(Automatic Test Equipment) Vector Test</t>
    <phoneticPr fontId="1" type="noConversion"/>
  </si>
  <si>
    <t>Are function test results reviewed? (All about IP's test mode)
Please check whether appropriate control and default value are applied through those Verilog simulations.</t>
    <phoneticPr fontId="1" type="noConversion"/>
  </si>
  <si>
    <t>1) Please share dump file path and file name
2) Please share the IP's hierarchical information on fullchip
3) Please share used waveform view &amp; version</t>
    <phoneticPr fontId="1" type="noConversion"/>
  </si>
  <si>
    <t>Input controllability</t>
    <phoneticPr fontId="1" type="noConversion"/>
  </si>
  <si>
    <t>Have you checked if there is any case where specific inputs of IP are connected to a ROM code or tie cell and cannot be easily modified by SW modification? 
If there is, write the list of IP's inputs connected to ROM code or signal in column J, 'Note'</t>
    <phoneticPr fontId="1" type="noConversion"/>
  </si>
  <si>
    <t>N.A</t>
  </si>
  <si>
    <t>Have you verified the cases when IP is connected to ROM/Tie cell by Verilog simulation and checked there is no problem?</t>
    <phoneticPr fontId="1" type="noConversion"/>
  </si>
  <si>
    <t>Unused pin check</t>
    <phoneticPr fontId="1" type="noConversion"/>
  </si>
  <si>
    <t>Are there any IP input/output pins that are not used? All IP inputs except the unused-pin list must be controllable.</t>
    <phoneticPr fontId="1" type="noConversion"/>
  </si>
  <si>
    <t>Please share the list of unused pins. 
1) Please specify about the pin-names that are not used or not controllable.
2) Please write the logical states of the unused pins. (e.g. tie to vdd with tie-cell, tie to gnd with logic block, floating)
3) If all pins are controllable, please write "All pins are used and controllable" with the name of the person in charge.
•	On chip guide
-. The unused input pins should be connected to the ground (in case of the active high 
   operation) or the power (in case of the active low operation). 
-. The unused output pins should be the floating net (NC).
•	Off chip guide 
-. The unused input pins (slave DP/DN, slave CLKP/CLKN) are tied to ground. 
-. The unused output pins (master DP/DN, master CLKP/CLKN) are the floating net (NC).
-. M_VREG_0P4V pin into the unused master block are the floating net (NC). The external 
   capacitor does not required to be connected.</t>
    <phoneticPr fontId="1" type="noConversion"/>
  </si>
  <si>
    <t>APB _ Write Transfer</t>
    <phoneticPr fontId="1" type="noConversion"/>
  </si>
  <si>
    <t xml:space="preserve">Check for write sequence </t>
    <phoneticPr fontId="1" type="noConversion"/>
  </si>
  <si>
    <t>Has the write transfer been set up correctly?
•	PADDR, PWRITE, PSEL, and PWDATA signals are modified after the rising edge of the PCLK.
•	After the following edge of the PCLK, PENABLE signal is asserted.
•	PADDR, PWDATA, and PSEL signals remain valid throughout the access cycle and the transfer completes at the end of the cycle.
•	PENABLE signal is deasserted at the end of the transfer. The PSEL signal proceeds to low.
•	Only one signal should be set when reading or writing register through APB signals.</t>
    <phoneticPr fontId="1" type="noConversion"/>
  </si>
  <si>
    <t>APB _ Read Transfer</t>
    <phoneticPr fontId="1" type="noConversion"/>
  </si>
  <si>
    <t xml:space="preserve">Check for read sequence </t>
    <phoneticPr fontId="1" type="noConversion"/>
  </si>
  <si>
    <t>Has the read transfer been set up correctly?
•	PADDR, PWRITE, and PSEL signals are modified after the rising edge of the PCLK.
•	After the following edge of the PCLK, PENABLE signal is asserted.
•	The slave provides the PRDATA during the access cycle.
•	The data is sampled on the rising edge of PCLK at the end of the access cycle.</t>
    <phoneticPr fontId="1" type="noConversion"/>
  </si>
  <si>
    <t>Implementatiaon
check</t>
    <phoneticPr fontId="1" type="noConversion"/>
  </si>
  <si>
    <t>Timing Skew Check for Direct Access Port in Test Mode</t>
    <phoneticPr fontId="1" type="noConversion"/>
  </si>
  <si>
    <t>Are timing skew for ports which access directly from GPIO checked for direct access (stand-alone) test?
When in PHY Test mode, the APB interface is accessed immediately from the GPIO. At this time, check whether skew is considered for Multi bit. (For example, PADDR (16bit), RDATA, PWDATA (16bit), PSEL, PENALBE, PWRITE) If there is a difference in skew, eventually the ATE must turn on the timing to skew. In fact, it is difficult to consider skew in the ATE. In the Post STA result, the skew report is received separately.</t>
    <phoneticPr fontId="1" type="noConversion"/>
  </si>
  <si>
    <t>Please attach  the report of the time delay from GPIO to target ports of IP (This is for  checking timing skew between ports for ATE) 
Use skew report from post STA, about IN/OUT multi-bit.
Please, refer IP user guide to check target pins and timing requirements.</t>
    <phoneticPr fontId="1" type="noConversion"/>
  </si>
  <si>
    <t>STA(Static Timing Analysis)</t>
    <phoneticPr fontId="1" type="noConversion"/>
  </si>
  <si>
    <t>Are STA results between IP and product reviewed?
1) Review the unconstraint path with the IP designer (The important timing path must be constraint path)
2) Check the timing report (setup / hold timing reports)</t>
  </si>
  <si>
    <t>1) Please share STA Report: Refer to Datasheet &amp; Userguide to check IP's pin name of interest with respect to STA (e.g. FIN, FOUT) 
2) Plase share the unconstraint path list</t>
    <phoneticPr fontId="1" type="noConversion"/>
  </si>
  <si>
    <t>Network Jitter</t>
    <phoneticPr fontId="1" type="noConversion"/>
  </si>
  <si>
    <t>Please attach the result of the input clock jitter simulation from the clock source on SOC to the IP's input clock pin
-. Check the input clcok jitter with clock jitter simulation flow including on-chip network
   jitter before product tape-out. it must be checked through integration review flow.</t>
    <phoneticPr fontId="1" type="noConversion"/>
  </si>
  <si>
    <t>Floor plan</t>
    <phoneticPr fontId="1" type="noConversion"/>
  </si>
  <si>
    <t>Product floor plan</t>
    <phoneticPr fontId="1" type="noConversion"/>
  </si>
  <si>
    <t xml:space="preserve">Is the floorplan shared with IP designer in advance? </t>
    <phoneticPr fontId="1" type="noConversion"/>
  </si>
  <si>
    <t>PAD</t>
    <phoneticPr fontId="1" type="noConversion"/>
  </si>
  <si>
    <t>I/O pad type</t>
    <phoneticPr fontId="1" type="noConversion"/>
  </si>
  <si>
    <t>Have you checked that appropriate type of I/O are used? Write the name of the used I/O in column J, 'Note'</t>
    <phoneticPr fontId="1" type="noConversion"/>
  </si>
  <si>
    <t>Isolation of I/O pad</t>
    <phoneticPr fontId="1" type="noConversion"/>
  </si>
  <si>
    <t xml:space="preserve">Is the Power I/O for the IP properly separated from noise interference around using slot cells? Have you reviewed over any ESD issues with ESD team? </t>
    <phoneticPr fontId="1" type="noConversion"/>
  </si>
  <si>
    <t>Noise around I/O pad</t>
    <phoneticPr fontId="1" type="noConversion"/>
  </si>
  <si>
    <t>Have you checked that there is no noisy sources (i.e. Tx Driver/Signal I/O) placed around the IP's Power I/O?</t>
    <phoneticPr fontId="1" type="noConversion"/>
  </si>
  <si>
    <t>IP Placement</t>
    <phoneticPr fontId="1" type="noConversion"/>
  </si>
  <si>
    <t>Is minimum distance between IP and the other glue logic to ensure no DRC violation secured?
What is the distance between IP and noisy or high power consuming IPs (e.g. DDRPHY)?</t>
    <phoneticPr fontId="1" type="noConversion"/>
  </si>
  <si>
    <t>-. IP Layout guide does not limit minimum space between IP and the ohter glue logic.
   however, DRC rule should not be violated. 5-um space is recommended for DRC rule.
   Space between IP and the noisy IO output buffer(for example DDR PHY) is important. 
   Place the noisy output pad as far as possible from IP. 
Please specify the distance or attach a captured image</t>
    <phoneticPr fontId="1" type="noConversion"/>
  </si>
  <si>
    <t>Routing guide at IP Side</t>
    <phoneticPr fontId="1" type="noConversion"/>
  </si>
  <si>
    <t xml:space="preserve">There are signals and powers at IP side. signal or power routing with these ports is not allowed except the I/O ring. </t>
    <phoneticPr fontId="1" type="noConversion"/>
  </si>
  <si>
    <t>Verification check</t>
    <phoneticPr fontId="1" type="noConversion"/>
  </si>
  <si>
    <t>Device List check</t>
    <phoneticPr fontId="1" type="noConversion"/>
  </si>
  <si>
    <t>Check if all devices in IP are available in the product.</t>
    <phoneticPr fontId="1" type="noConversion"/>
  </si>
  <si>
    <t>Please check device list with this method in below.
- In IP BE-Common, LVS report(lvsprt_ca.lvs) file includes IP device list.
Product designer should check if all of the devices are available in the product. If there is an issue, please contact IP designer.
- Product designer share the device list of product, then IP designer would check it.</t>
    <phoneticPr fontId="1" type="noConversion"/>
  </si>
  <si>
    <t>Off-Chip</t>
    <phoneticPr fontId="1" type="noConversion"/>
  </si>
  <si>
    <t>Package Ground Plane Merge</t>
    <phoneticPr fontId="1" type="noConversion"/>
  </si>
  <si>
    <t>Is the ground of the IP merged with ground plane of SOC in package level?</t>
    <phoneticPr fontId="1" type="noConversion"/>
  </si>
  <si>
    <t>Please review the ground ball name in ball map and where the merging point is and attach the confirm material</t>
    <phoneticPr fontId="1" type="noConversion"/>
  </si>
  <si>
    <t>Package Sign-Off</t>
    <phoneticPr fontId="1" type="noConversion"/>
  </si>
  <si>
    <t>Is the package sign-off confirmed by DT(Design technology) and package team?</t>
    <phoneticPr fontId="1" type="noConversion"/>
  </si>
  <si>
    <t>Please review and attach the results</t>
    <phoneticPr fontId="1" type="noConversion"/>
  </si>
  <si>
    <t>Ballmap</t>
    <phoneticPr fontId="1" type="noConversion"/>
  </si>
  <si>
    <t>Are ballmaps for IP reviewed with IP designer?
If there is an fixed signal order of connector, are signal balls correctly placed?</t>
    <phoneticPr fontId="1" type="noConversion"/>
  </si>
  <si>
    <r>
      <t xml:space="preserve">rs_etphy5000r_ln05lpe should be placed in the center of one-side to minimize package R/L/C parasitic. If it  cannot be placed in the center, there should be enough space (e.g. &gt; 1000um) from the chip edge.
The PHY IP is also recommended to be far away from noisy switching logic. The distance to other IP and logic blocks is recommended as 20µm and 40µm, respectively
If there are noisy blocks such as DDR PHY, then place this IP at the other side of the die (e.g. the opposite side). The noisy switching IO signals from the DDR PHY may cause unwanted noise coupling in the die and/or package/board level. To prevent unwanted notice, ensure that you place the noisy block at the opposite side in the die.
For the process monitoring block placement, at least one block should be located near the PHY. We recommend you to place the process monitoring block within 100um from the PHY and closer to the IO region of the PHY (e.g.&lt; 400 um from chip edge). This block can be located with the minimum space rule of 5um from our PHY (e.g. 50 ~ 300 um space </t>
    </r>
    <r>
      <rPr>
        <sz val="9"/>
        <color theme="1"/>
        <rFont val="Wingdings"/>
        <family val="3"/>
        <charset val="2"/>
      </rPr>
      <t></t>
    </r>
    <r>
      <rPr>
        <sz val="9"/>
        <color theme="1"/>
        <rFont val="맑은 고딕"/>
        <family val="3"/>
        <charset val="129"/>
        <scheme val="major"/>
      </rPr>
      <t xml:space="preserve"> 5 um space) because this block is not working in the normal mode.</t>
    </r>
    <phoneticPr fontId="1" type="noConversion"/>
  </si>
  <si>
    <t>rs_etphy5000r_ln05lpe is designed to support only flip chip package, but not wire-bond type. Figure 2  illustrates the bump placement. No bump is required to be added in SoC. The bump size is 71um, and the minimum bump pitch is 150um in the below bump map.
pls refer to the 1.3.2 bump map (rs_etphy500r_ln05lpe_userguide)
Please attach ball-maps and review confirmation emails from IP designer.
If that IP use connector, please fill in signal order of connector</t>
    <phoneticPr fontId="1" type="noConversion"/>
  </si>
  <si>
    <t>Power &amp; Ground Routing</t>
    <phoneticPr fontId="1" type="noConversion"/>
  </si>
  <si>
    <t xml:space="preserve">In order to prevent power supply noise which induces jitter on the TX and RX waveforms, rs_etphy5000r_ln05lpe's power and ground should be isolated from those of the SoC as illustrated below
</t>
    <phoneticPr fontId="1" type="noConversion"/>
  </si>
  <si>
    <t>The rs_etphy5000r_ln05lpe Hard Macro includes primary ESD protection devices for all signal pads and all power supplies in the PHY. Internal ESD protection devices are not required to be connected to any power pin of SoC.</t>
    <phoneticPr fontId="1" type="noConversion"/>
  </si>
  <si>
    <t>ESD Protection
(I/O Information)</t>
    <phoneticPr fontId="1" type="noConversion"/>
  </si>
  <si>
    <t>All connection between the PHY and SoC requires ESD protection using CDM diodes. All input ports of rs_etphy5000r_ln05lpe have internal CDM diodes but all output ports do not have the diodes. Therefore, all input ports of SoC, which are connected to rs_etphy5000r_ln05lpe's output, must have CDM diode.</t>
    <phoneticPr fontId="1" type="noConversion"/>
  </si>
  <si>
    <t>In order to prevent CDM damage between rs_etphy5000r_ln05lpe and SoC power supplies, back-to-back diodes are inserted in the PHY. The "vsscore(Vbb)" ports on rs_etphy5000r_ln05lpe should be strongly connected to SoC grounds as illustrated in Figure 4. Thicker metal layers like Kx or Gx with enough number of vias are highly recommended for the "vsscore(Vbb)" routing.</t>
    <phoneticPr fontId="1" type="noConversion"/>
  </si>
  <si>
    <t>ESD Protection
(CDM Diode insertion)</t>
    <phoneticPr fontId="1" type="noConversion"/>
  </si>
  <si>
    <t>ESD Protection
(Back to Back diode connection)</t>
    <phoneticPr fontId="1" type="noConversion"/>
  </si>
  <si>
    <t xml:space="preserve">check for prevention of supply noise </t>
    <phoneticPr fontId="1" type="noConversion"/>
  </si>
  <si>
    <t>Refer to the check method</t>
    <phoneticPr fontId="1" type="noConversion"/>
  </si>
  <si>
    <t>Reference Clock</t>
    <phoneticPr fontId="1" type="noConversion"/>
  </si>
  <si>
    <t>Jitter in the reference clock should be tightly controlled to ensure very high-speed clock operation and its jitter characteristics. Jitter performance of rs_etphy5000r_ln05lpe is dependent on a low-jitter reference clock source.
If you use an internal clock-tree for the clock signal distribution in full-chip level, the additional jitter from this clock- tree network should be minimized (e.g. Period jitter should be very small at the worst-case simulation condition). Otherwise, the jitter performance can be degraded due to low quality input reference clock.
NOTE: It is mandatory to have a review session with PHY design team for the reference clock scheme and the estimated reference clock jitter.</t>
    <phoneticPr fontId="1" type="noConversion"/>
  </si>
  <si>
    <t>Check for reference clock jitter</t>
    <phoneticPr fontId="1" type="noConversion"/>
  </si>
  <si>
    <t>Supply constraints</t>
    <phoneticPr fontId="1" type="noConversion"/>
  </si>
  <si>
    <t>Package should be designed to dedicate a plane for vssa. It is also recommended to have a dedicated plane for vdda_d (also known as dirty supply) to minimize the package inductance; while vdda_c (also known as clean supply) may not have dedicated plane but must have spate ball out. The vddh_ln and vddh_cmn can be shorted in dedicated vddh (1.8V) plane but it is recommended to have multiple ball outs for this domain.</t>
    <phoneticPr fontId="1" type="noConversion"/>
  </si>
  <si>
    <t>package's power configuration for IP</t>
    <phoneticPr fontId="1" type="noConversion"/>
  </si>
  <si>
    <t>IR CHECKLIST</t>
    <phoneticPr fontId="1" type="noConversion"/>
  </si>
  <si>
    <t>Have you checked that the clock input and control signals are applied according to the start-up sequence described in the Datasheet?
refer to the "1.Power sequence tap in this excel sheet"</t>
    <phoneticPr fontId="1" type="noConversion"/>
  </si>
  <si>
    <t xml:space="preserve">Are the clock network jitters from full chip shared and reviewed with IP designers? 
-. check for maximum jitter </t>
    <phoneticPr fontId="1" type="noConversion"/>
  </si>
  <si>
    <t>Dolphin 7</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</si>
</sst>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맑은 고딕"/>
      <family val="2"/>
      <charset val="129"/>
      <scheme val="minor"/>
    </font>
    <font>
      <sz val="8"/>
      <name val="맑은 고딕"/>
      <family val="2"/>
      <charset val="129"/>
      <scheme val="minor"/>
    </font>
    <font>
      <b/>
      <sz val="11"/>
      <color theme="1"/>
      <name val="맑은 고딕"/>
      <family val="3"/>
      <charset val="129"/>
      <scheme val="major"/>
    </font>
    <font>
      <sz val="11"/>
      <color theme="1"/>
      <name val="맑은 고딕"/>
      <family val="3"/>
      <charset val="129"/>
      <scheme val="major"/>
    </font>
    <font>
      <b/>
      <sz val="11"/>
      <color rgb="FFFF0000"/>
      <name val="맑은 고딕"/>
      <family val="3"/>
      <charset val="129"/>
      <scheme val="major"/>
    </font>
    <font>
      <sz val="9"/>
      <color theme="1"/>
      <name val="맑은 고딕"/>
      <family val="3"/>
      <charset val="129"/>
      <scheme val="major"/>
    </font>
    <font>
      <b/>
      <u/>
      <sz val="16"/>
      <color theme="1"/>
      <name val="맑은 고딕"/>
      <family val="3"/>
      <charset val="129"/>
      <scheme val="major"/>
    </font>
    <font>
      <b/>
      <sz val="10"/>
      <color theme="1"/>
      <name val="맑은 고딕"/>
      <family val="3"/>
      <charset val="129"/>
      <scheme val="major"/>
    </font>
    <font>
      <sz val="10"/>
      <color theme="1"/>
      <name val="맑은 고딕"/>
      <family val="3"/>
      <charset val="129"/>
      <scheme val="major"/>
    </font>
    <font>
      <sz val="12"/>
      <color theme="1"/>
      <name val="맑은 고딕"/>
      <family val="2"/>
      <charset val="129"/>
      <scheme val="minor"/>
    </font>
    <font>
      <b/>
      <sz val="16"/>
      <color theme="0" tint="-0.499984740745262"/>
      <name val="맑은 고딕"/>
      <family val="3"/>
      <charset val="129"/>
      <scheme val="major"/>
    </font>
    <font>
      <sz val="11"/>
      <color theme="1"/>
      <name val="맑은 고딕"/>
      <family val="2"/>
      <charset val="129"/>
      <scheme val="minor"/>
    </font>
    <font>
      <b/>
      <sz val="10"/>
      <color rgb="FFFF0000"/>
      <name val="맑은 고딕"/>
      <family val="3"/>
      <charset val="129"/>
      <scheme val="major"/>
    </font>
    <font>
      <b/>
      <sz val="10"/>
      <color theme="0"/>
      <name val="맑은 고딕"/>
      <family val="3"/>
      <charset val="129"/>
      <scheme val="minor"/>
    </font>
    <font>
      <b/>
      <sz val="10"/>
      <color theme="1"/>
      <name val="맑은 고딕"/>
      <family val="3"/>
      <charset val="129"/>
      <scheme val="minor"/>
    </font>
    <font>
      <sz val="11"/>
      <color theme="1"/>
      <name val="맑은 고딕"/>
      <family val="3"/>
      <charset val="129"/>
      <scheme val="minor"/>
    </font>
    <font>
      <b/>
      <sz val="11"/>
      <color theme="0"/>
      <name val="맑은 고딕"/>
      <family val="3"/>
      <charset val="129"/>
      <scheme val="minor"/>
    </font>
    <font>
      <sz val="11"/>
      <name val="돋움"/>
      <family val="3"/>
      <charset val="129"/>
    </font>
    <font>
      <b/>
      <sz val="10"/>
      <color theme="0"/>
      <name val="맑은 고딕"/>
      <family val="3"/>
      <charset val="129"/>
      <scheme val="major"/>
    </font>
    <font>
      <b/>
      <sz val="20"/>
      <color theme="1"/>
      <name val="맑은 고딕"/>
      <family val="3"/>
      <charset val="129"/>
      <scheme val="major"/>
    </font>
    <font>
      <sz val="11"/>
      <color theme="1"/>
      <name val="맑은 고딕"/>
      <family val="2"/>
      <scheme val="minor"/>
    </font>
    <font>
      <sz val="10"/>
      <name val="Arial"/>
      <family val="2"/>
    </font>
    <font>
      <u/>
      <sz val="9.35"/>
      <color theme="10"/>
      <name val="돋움"/>
      <family val="3"/>
      <charset val="129"/>
    </font>
    <font>
      <u/>
      <sz val="11"/>
      <color theme="10"/>
      <name val="맑은 고딕"/>
      <family val="2"/>
      <charset val="129"/>
      <scheme val="minor"/>
    </font>
    <font>
      <u/>
      <sz val="11"/>
      <color theme="10"/>
      <name val="맑은 고딕"/>
      <family val="2"/>
      <charset val="1"/>
    </font>
    <font>
      <sz val="11"/>
      <color rgb="FF000000"/>
      <name val="맑은 고딕"/>
      <family val="2"/>
      <charset val="1"/>
    </font>
    <font>
      <b/>
      <sz val="11"/>
      <color rgb="FFFFFFFF"/>
      <name val="맑은 고딕"/>
      <family val="2"/>
      <charset val="1"/>
    </font>
    <font>
      <b/>
      <u/>
      <sz val="10"/>
      <color rgb="FF0070C0"/>
      <name val="맑은 고딕"/>
      <family val="3"/>
      <charset val="129"/>
      <scheme val="major"/>
    </font>
    <font>
      <sz val="9"/>
      <color theme="1"/>
      <name val="맑은 고딕"/>
      <family val="3"/>
      <charset val="129"/>
      <scheme val="minor"/>
    </font>
    <font>
      <sz val="9"/>
      <color theme="1"/>
      <name val="Wingdings"/>
      <family val="3"/>
      <charset val="2"/>
    </font>
  </fonts>
  <fills count="15">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0"/>
        <bgColor indexed="64"/>
      </patternFill>
    </fill>
    <fill>
      <patternFill patternType="solid">
        <fgColor theme="7" tint="0.59999389629810485"/>
        <bgColor indexed="64"/>
      </patternFill>
    </fill>
    <fill>
      <patternFill patternType="solid">
        <fgColor theme="4" tint="-0.499984740745262"/>
        <bgColor indexed="64"/>
      </patternFill>
    </fill>
    <fill>
      <patternFill patternType="solid">
        <fgColor theme="8" tint="0.79998168889431442"/>
        <bgColor indexed="64"/>
      </patternFill>
    </fill>
    <fill>
      <patternFill patternType="solid">
        <fgColor rgb="FFA5A5A5"/>
      </patternFill>
    </fill>
    <fill>
      <patternFill patternType="solid">
        <fgColor rgb="FFFFC000"/>
        <bgColor indexed="64"/>
      </patternFill>
    </fill>
    <fill>
      <patternFill patternType="solid">
        <fgColor theme="0" tint="-4.9989318521683403E-2"/>
        <bgColor indexed="64"/>
      </patternFill>
    </fill>
    <fill>
      <patternFill patternType="solid">
        <fgColor theme="9" tint="-0.499984740745262"/>
        <bgColor indexed="64"/>
      </patternFill>
    </fill>
    <fill>
      <patternFill patternType="solid">
        <fgColor rgb="FFA5A5A5"/>
        <bgColor rgb="FFC0C0C0"/>
      </patternFill>
    </fill>
    <fill>
      <patternFill patternType="solid">
        <fgColor rgb="FF92D050"/>
        <bgColor indexed="64"/>
      </patternFill>
    </fill>
    <fill>
      <patternFill patternType="solid">
        <fgColor theme="9" tint="0.39997558519241921"/>
        <bgColor indexed="64"/>
      </patternFill>
    </fill>
  </fills>
  <borders count="25">
    <border>
      <left/>
      <right/>
      <top/>
      <bottom/>
      <diagonal/>
    </border>
    <border>
      <left style="thin">
        <color theme="1"/>
      </left>
      <right style="thin">
        <color theme="1"/>
      </right>
      <top style="thin">
        <color theme="1"/>
      </top>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style="thin">
        <color theme="1"/>
      </top>
      <bottom/>
      <diagonal/>
    </border>
    <border>
      <left style="thin">
        <color indexed="64"/>
      </left>
      <right/>
      <top style="thin">
        <color theme="1"/>
      </top>
      <bottom style="thin">
        <color theme="1"/>
      </bottom>
      <diagonal/>
    </border>
    <border>
      <left/>
      <right/>
      <top style="thin">
        <color theme="1"/>
      </top>
      <bottom style="thin">
        <color theme="1"/>
      </bottom>
      <diagonal/>
    </border>
    <border>
      <left/>
      <right/>
      <top style="thin">
        <color theme="1"/>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1"/>
      </left>
      <right/>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s>
  <cellStyleXfs count="104">
    <xf numFmtId="0" fontId="0" fillId="0" borderId="0">
      <alignment vertical="center"/>
    </xf>
    <xf numFmtId="0" fontId="9" fillId="0" borderId="0">
      <alignment vertical="center"/>
    </xf>
    <xf numFmtId="9" fontId="11" fillId="0" borderId="0" applyFont="0" applyFill="0" applyBorder="0" applyAlignment="0" applyProtection="0">
      <alignment vertical="center"/>
    </xf>
    <xf numFmtId="0" fontId="11" fillId="0" borderId="0">
      <alignment vertical="center"/>
    </xf>
    <xf numFmtId="0" fontId="17" fillId="0" borderId="0">
      <alignment vertical="center"/>
    </xf>
    <xf numFmtId="0" fontId="15" fillId="0" borderId="0">
      <alignment vertical="center"/>
    </xf>
    <xf numFmtId="0" fontId="15" fillId="0" borderId="0">
      <alignment vertical="center"/>
    </xf>
    <xf numFmtId="0" fontId="15" fillId="0" borderId="0">
      <alignment vertical="center"/>
    </xf>
    <xf numFmtId="0" fontId="16" fillId="8" borderId="2" applyNumberFormat="0" applyAlignment="0" applyProtection="0">
      <alignment vertical="center"/>
    </xf>
    <xf numFmtId="0" fontId="11" fillId="0" borderId="0">
      <alignment vertical="center"/>
    </xf>
    <xf numFmtId="0" fontId="17" fillId="0" borderId="0">
      <alignment vertical="center"/>
    </xf>
    <xf numFmtId="0" fontId="15" fillId="0" borderId="0">
      <alignment vertical="center"/>
    </xf>
    <xf numFmtId="9" fontId="17" fillId="0" borderId="0" applyFont="0" applyFill="0" applyBorder="0" applyAlignment="0" applyProtection="0">
      <alignment vertical="center"/>
    </xf>
    <xf numFmtId="0" fontId="11" fillId="0" borderId="0">
      <alignment vertical="center"/>
    </xf>
    <xf numFmtId="0" fontId="20" fillId="0" borderId="0"/>
    <xf numFmtId="0" fontId="21" fillId="0" borderId="0"/>
    <xf numFmtId="0" fontId="21" fillId="0" borderId="0"/>
    <xf numFmtId="0" fontId="11" fillId="0" borderId="0">
      <alignment vertical="center"/>
    </xf>
    <xf numFmtId="0" fontId="11" fillId="0" borderId="0">
      <alignment vertical="center"/>
    </xf>
    <xf numFmtId="0" fontId="15" fillId="0" borderId="0">
      <alignment vertical="center"/>
    </xf>
    <xf numFmtId="0" fontId="11" fillId="0" borderId="0">
      <alignment vertical="center"/>
    </xf>
    <xf numFmtId="0" fontId="11" fillId="0" borderId="0">
      <alignment vertical="center"/>
    </xf>
    <xf numFmtId="0" fontId="15" fillId="0" borderId="0">
      <alignment vertical="center"/>
    </xf>
    <xf numFmtId="0" fontId="22" fillId="0" borderId="0" applyNumberFormat="0" applyFill="0" applyBorder="0" applyAlignment="0" applyProtection="0">
      <alignment vertical="top"/>
      <protection locked="0"/>
    </xf>
    <xf numFmtId="0" fontId="17" fillId="0" borderId="0">
      <alignment vertical="center"/>
    </xf>
    <xf numFmtId="0" fontId="20" fillId="0" borderId="0"/>
    <xf numFmtId="0" fontId="20" fillId="0" borderId="0"/>
    <xf numFmtId="0" fontId="20" fillId="0" borderId="0"/>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23" fillId="0" borderId="0" applyNumberFormat="0" applyFill="0" applyBorder="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20" fillId="0" borderId="0"/>
    <xf numFmtId="0" fontId="11" fillId="0" borderId="0">
      <alignment vertical="center"/>
    </xf>
    <xf numFmtId="0" fontId="20" fillId="0" borderId="0"/>
    <xf numFmtId="0" fontId="11" fillId="0" borderId="0">
      <alignment vertical="center"/>
    </xf>
    <xf numFmtId="0" fontId="20" fillId="0" borderId="0"/>
    <xf numFmtId="0" fontId="20" fillId="0" borderId="0"/>
    <xf numFmtId="0" fontId="11" fillId="0" borderId="0">
      <alignment vertical="center"/>
    </xf>
    <xf numFmtId="0" fontId="24" fillId="0" borderId="0" applyNumberFormat="0" applyFill="0" applyBorder="0" applyAlignment="0" applyProtection="0">
      <alignment vertical="center"/>
    </xf>
    <xf numFmtId="0" fontId="25" fillId="0" borderId="0">
      <alignment vertical="center"/>
    </xf>
    <xf numFmtId="0" fontId="26" fillId="12" borderId="2" applyProtection="0">
      <alignment vertical="center"/>
    </xf>
    <xf numFmtId="0" fontId="23" fillId="0" borderId="0" applyNumberFormat="0" applyFill="0" applyBorder="0" applyAlignment="0" applyProtection="0">
      <alignment vertical="center"/>
    </xf>
  </cellStyleXfs>
  <cellXfs count="94">
    <xf numFmtId="0" fontId="0" fillId="0" borderId="0" xfId="0">
      <alignment vertical="center"/>
    </xf>
    <xf numFmtId="0" fontId="2" fillId="0" borderId="0" xfId="0" applyFont="1">
      <alignment vertical="center"/>
    </xf>
    <xf numFmtId="0" fontId="3" fillId="0" borderId="0" xfId="0" applyFont="1">
      <alignment vertical="center"/>
    </xf>
    <xf numFmtId="0" fontId="4" fillId="0" borderId="0" xfId="0" applyFont="1">
      <alignment vertical="center"/>
    </xf>
    <xf numFmtId="0" fontId="5" fillId="0" borderId="0" xfId="0" applyFont="1">
      <alignment vertical="center"/>
    </xf>
    <xf numFmtId="0" fontId="6" fillId="0" borderId="0" xfId="0" applyFont="1">
      <alignment vertical="center"/>
    </xf>
    <xf numFmtId="0" fontId="8" fillId="0" borderId="0" xfId="0" applyFont="1">
      <alignment vertical="center"/>
    </xf>
    <xf numFmtId="0" fontId="10" fillId="0" borderId="0" xfId="0" applyFont="1">
      <alignment vertical="center"/>
    </xf>
    <xf numFmtId="0" fontId="7" fillId="0" borderId="0" xfId="0" applyFont="1" applyAlignment="1">
      <alignment horizontal="left" vertical="center"/>
    </xf>
    <xf numFmtId="0" fontId="7" fillId="0" borderId="0" xfId="0" applyFont="1">
      <alignment vertical="center"/>
    </xf>
    <xf numFmtId="0" fontId="3" fillId="0" borderId="0" xfId="0" applyFont="1" applyAlignment="1">
      <alignment horizontal="center" vertical="center"/>
    </xf>
    <xf numFmtId="0" fontId="7" fillId="4" borderId="0" xfId="0" applyFont="1" applyFill="1">
      <alignment vertical="center"/>
    </xf>
    <xf numFmtId="0" fontId="14" fillId="4" borderId="0" xfId="0" applyFont="1" applyFill="1" applyAlignment="1" applyProtection="1">
      <alignment horizontal="center" vertical="center"/>
      <protection locked="0"/>
    </xf>
    <xf numFmtId="9" fontId="3" fillId="0" borderId="0" xfId="0" applyNumberFormat="1" applyFont="1">
      <alignment vertical="center"/>
    </xf>
    <xf numFmtId="0" fontId="7" fillId="2" borderId="3" xfId="0" applyFont="1" applyFill="1" applyBorder="1" applyAlignment="1">
      <alignment horizontal="center" vertical="center" wrapText="1"/>
    </xf>
    <xf numFmtId="0" fontId="5" fillId="7" borderId="3" xfId="0" applyFont="1" applyFill="1" applyBorder="1" applyAlignment="1">
      <alignment horizontal="center" vertical="center"/>
    </xf>
    <xf numFmtId="0" fontId="5" fillId="0" borderId="3" xfId="0" applyFont="1" applyBorder="1" applyAlignment="1">
      <alignment horizontal="left" vertical="center" wrapText="1"/>
    </xf>
    <xf numFmtId="0" fontId="3" fillId="7" borderId="3" xfId="0" applyFont="1" applyFill="1" applyBorder="1" applyAlignment="1">
      <alignment horizontal="center" vertical="center"/>
    </xf>
    <xf numFmtId="0" fontId="3" fillId="7" borderId="3" xfId="0" applyFont="1" applyFill="1" applyBorder="1">
      <alignment vertical="center"/>
    </xf>
    <xf numFmtId="0" fontId="14" fillId="0" borderId="0" xfId="0" applyFont="1" applyAlignment="1" applyProtection="1">
      <alignment horizontal="center" vertical="center"/>
      <protection locked="0"/>
    </xf>
    <xf numFmtId="0" fontId="7" fillId="2" borderId="3" xfId="0" applyFont="1" applyFill="1" applyBorder="1">
      <alignment vertical="center"/>
    </xf>
    <xf numFmtId="0" fontId="5" fillId="7" borderId="3" xfId="0" applyFont="1" applyFill="1" applyBorder="1" applyAlignment="1">
      <alignment horizontal="center" vertical="center" wrapText="1"/>
    </xf>
    <xf numFmtId="14" fontId="5" fillId="7" borderId="3" xfId="0" applyNumberFormat="1" applyFont="1" applyFill="1" applyBorder="1" applyAlignment="1">
      <alignment horizontal="center" vertical="center"/>
    </xf>
    <xf numFmtId="0" fontId="5" fillId="7" borderId="3" xfId="0" applyFont="1" applyFill="1" applyBorder="1" applyAlignment="1">
      <alignment horizontal="left" vertical="center" wrapText="1"/>
    </xf>
    <xf numFmtId="9" fontId="7" fillId="4" borderId="0" xfId="0" applyNumberFormat="1" applyFont="1" applyFill="1" applyAlignment="1">
      <alignment horizontal="center" vertical="center"/>
    </xf>
    <xf numFmtId="0" fontId="7" fillId="4" borderId="0" xfId="0" applyFont="1" applyFill="1" applyAlignment="1">
      <alignment horizontal="center" vertical="center"/>
    </xf>
    <xf numFmtId="0" fontId="12" fillId="0" borderId="0" xfId="0" applyFont="1">
      <alignment vertical="center"/>
    </xf>
    <xf numFmtId="0" fontId="14" fillId="0" borderId="9" xfId="0" applyFont="1" applyBorder="1" applyAlignment="1" applyProtection="1">
      <alignment horizontal="center" vertical="center"/>
      <protection locked="0"/>
    </xf>
    <xf numFmtId="0" fontId="7" fillId="0" borderId="3" xfId="0" applyFont="1" applyBorder="1" applyAlignment="1">
      <alignment horizontal="center" vertical="center"/>
    </xf>
    <xf numFmtId="0" fontId="7" fillId="5" borderId="3" xfId="0" applyFont="1" applyFill="1" applyBorder="1" applyAlignment="1">
      <alignment vertical="center" wrapText="1"/>
    </xf>
    <xf numFmtId="0" fontId="5" fillId="0" borderId="3" xfId="0" applyFont="1" applyBorder="1" applyAlignment="1">
      <alignment vertical="center" wrapText="1"/>
    </xf>
    <xf numFmtId="0" fontId="7" fillId="10" borderId="3" xfId="0" applyFont="1" applyFill="1" applyBorder="1" applyAlignment="1">
      <alignment horizontal="center" vertical="center"/>
    </xf>
    <xf numFmtId="0" fontId="7" fillId="7" borderId="3" xfId="0" applyFont="1" applyFill="1" applyBorder="1" applyAlignment="1">
      <alignment horizontal="left" vertical="center"/>
    </xf>
    <xf numFmtId="0" fontId="5" fillId="0" borderId="3" xfId="0" applyFont="1" applyBorder="1" applyAlignment="1">
      <alignment horizontal="left" vertical="center"/>
    </xf>
    <xf numFmtId="0" fontId="7" fillId="7" borderId="3" xfId="0" applyFont="1" applyFill="1" applyBorder="1" applyAlignment="1">
      <alignment horizontal="left" vertical="center" wrapText="1"/>
    </xf>
    <xf numFmtId="0" fontId="7" fillId="10" borderId="3" xfId="0" applyFont="1" applyFill="1" applyBorder="1" applyAlignment="1">
      <alignment horizontal="center" vertical="center" wrapText="1"/>
    </xf>
    <xf numFmtId="0" fontId="7" fillId="9" borderId="3" xfId="0" applyFont="1" applyFill="1" applyBorder="1" applyAlignment="1">
      <alignment horizontal="left" vertical="center" wrapText="1"/>
    </xf>
    <xf numFmtId="0" fontId="7" fillId="9" borderId="3" xfId="0" applyFont="1" applyFill="1" applyBorder="1" applyAlignment="1">
      <alignment horizontal="left" vertical="center"/>
    </xf>
    <xf numFmtId="0" fontId="7" fillId="13" borderId="3" xfId="0" applyFont="1" applyFill="1" applyBorder="1">
      <alignment vertical="center"/>
    </xf>
    <xf numFmtId="0" fontId="23" fillId="7" borderId="3" xfId="103" applyFill="1" applyBorder="1" applyAlignment="1">
      <alignment horizontal="center" vertical="center"/>
    </xf>
    <xf numFmtId="0" fontId="7" fillId="13" borderId="3" xfId="0" applyFont="1" applyFill="1" applyBorder="1" applyAlignment="1">
      <alignment horizontal="left" vertical="center"/>
    </xf>
    <xf numFmtId="0" fontId="5" fillId="7" borderId="3" xfId="0" applyFont="1" applyFill="1" applyBorder="1" applyAlignment="1">
      <alignment horizontal="center" vertical="top" wrapText="1"/>
    </xf>
    <xf numFmtId="0" fontId="23" fillId="7" borderId="3" xfId="103" applyFill="1" applyBorder="1" applyAlignment="1">
      <alignment horizontal="center" vertical="center" wrapText="1"/>
    </xf>
    <xf numFmtId="0" fontId="7" fillId="5" borderId="3" xfId="0" applyFont="1" applyFill="1" applyBorder="1">
      <alignment vertical="center"/>
    </xf>
    <xf numFmtId="0" fontId="7" fillId="3" borderId="3" xfId="0" applyFont="1" applyFill="1" applyBorder="1" applyAlignment="1">
      <alignment horizontal="center" vertical="center"/>
    </xf>
    <xf numFmtId="0" fontId="7" fillId="14" borderId="3" xfId="0" applyFont="1" applyFill="1" applyBorder="1" applyAlignment="1">
      <alignment horizontal="center" vertical="center"/>
    </xf>
    <xf numFmtId="0" fontId="7" fillId="0" borderId="3" xfId="0" applyFont="1" applyBorder="1" applyAlignment="1">
      <alignment horizontal="center" vertical="center"/>
    </xf>
    <xf numFmtId="0" fontId="12" fillId="0" borderId="3" xfId="0" applyFont="1" applyBorder="1" applyAlignment="1">
      <alignment horizontal="center" vertical="center"/>
    </xf>
    <xf numFmtId="0" fontId="7" fillId="9" borderId="4" xfId="0" applyFont="1" applyFill="1" applyBorder="1" applyAlignment="1">
      <alignment horizontal="center" vertical="center"/>
    </xf>
    <xf numFmtId="0" fontId="7" fillId="9" borderId="5" xfId="0" applyFont="1" applyFill="1" applyBorder="1" applyAlignment="1">
      <alignment horizontal="center" vertical="center"/>
    </xf>
    <xf numFmtId="0" fontId="7" fillId="9" borderId="6" xfId="0" applyFont="1" applyFill="1" applyBorder="1" applyAlignment="1">
      <alignment horizontal="center" vertical="center"/>
    </xf>
    <xf numFmtId="9" fontId="19" fillId="9" borderId="3" xfId="2" applyFont="1" applyFill="1" applyBorder="1" applyAlignment="1">
      <alignment horizontal="center" vertical="center"/>
    </xf>
    <xf numFmtId="0" fontId="18" fillId="11" borderId="21" xfId="0" applyFont="1" applyFill="1" applyBorder="1" applyAlignment="1">
      <alignment horizontal="center" vertical="center"/>
    </xf>
    <xf numFmtId="0" fontId="18" fillId="11" borderId="19" xfId="0" applyFont="1" applyFill="1" applyBorder="1" applyAlignment="1">
      <alignment horizontal="center" vertical="center"/>
    </xf>
    <xf numFmtId="0" fontId="18" fillId="11" borderId="22" xfId="0" applyFont="1" applyFill="1" applyBorder="1" applyAlignment="1">
      <alignment horizontal="center" vertical="center"/>
    </xf>
    <xf numFmtId="0" fontId="18" fillId="11" borderId="23" xfId="0" applyFont="1" applyFill="1" applyBorder="1" applyAlignment="1">
      <alignment horizontal="center" vertical="center"/>
    </xf>
    <xf numFmtId="0" fontId="18" fillId="11" borderId="24" xfId="0" applyFont="1" applyFill="1" applyBorder="1" applyAlignment="1">
      <alignment horizontal="center" vertical="center"/>
    </xf>
    <xf numFmtId="0" fontId="5" fillId="4" borderId="8" xfId="0" applyFont="1" applyFill="1" applyBorder="1" applyAlignment="1">
      <alignment horizontal="left" vertical="center" wrapText="1"/>
    </xf>
    <xf numFmtId="0" fontId="5" fillId="4" borderId="14" xfId="0" applyFont="1" applyFill="1" applyBorder="1" applyAlignment="1">
      <alignment horizontal="left" vertical="center" wrapText="1"/>
    </xf>
    <xf numFmtId="0" fontId="5" fillId="4" borderId="7" xfId="0" applyFont="1" applyFill="1" applyBorder="1" applyAlignment="1">
      <alignment horizontal="left" vertical="center" wrapText="1"/>
    </xf>
    <xf numFmtId="0" fontId="13" fillId="6" borderId="11" xfId="0" applyFont="1" applyFill="1" applyBorder="1" applyAlignment="1" applyProtection="1">
      <alignment horizontal="center" vertical="center"/>
      <protection locked="0"/>
    </xf>
    <xf numFmtId="0" fontId="13" fillId="6" borderId="12" xfId="0" applyFont="1" applyFill="1" applyBorder="1" applyAlignment="1" applyProtection="1">
      <alignment horizontal="center" vertical="center"/>
      <protection locked="0"/>
    </xf>
    <xf numFmtId="0" fontId="7" fillId="10" borderId="3" xfId="0" applyFont="1" applyFill="1" applyBorder="1" applyAlignment="1">
      <alignment horizontal="center" vertical="center"/>
    </xf>
    <xf numFmtId="0" fontId="5" fillId="0" borderId="8" xfId="0" quotePrefix="1" applyFont="1" applyBorder="1" applyAlignment="1">
      <alignment horizontal="left" vertical="center" wrapText="1"/>
    </xf>
    <xf numFmtId="0" fontId="5" fillId="0" borderId="14" xfId="0" quotePrefix="1" applyFont="1" applyBorder="1" applyAlignment="1">
      <alignment horizontal="left" vertical="center" wrapText="1"/>
    </xf>
    <xf numFmtId="0" fontId="5" fillId="0" borderId="7" xfId="0" quotePrefix="1" applyFont="1" applyBorder="1" applyAlignment="1">
      <alignment horizontal="left" vertical="center" wrapText="1"/>
    </xf>
    <xf numFmtId="0" fontId="5" fillId="4" borderId="8" xfId="0" quotePrefix="1" applyFont="1" applyFill="1" applyBorder="1" applyAlignment="1">
      <alignment horizontal="left" vertical="center" wrapText="1"/>
    </xf>
    <xf numFmtId="0" fontId="14" fillId="5" borderId="11" xfId="0" applyFont="1" applyFill="1" applyBorder="1" applyAlignment="1" applyProtection="1">
      <alignment horizontal="center" vertical="center"/>
      <protection locked="0"/>
    </xf>
    <xf numFmtId="0" fontId="14" fillId="5" borderId="12" xfId="0" applyFont="1" applyFill="1" applyBorder="1" applyAlignment="1" applyProtection="1">
      <alignment horizontal="center" vertical="center"/>
      <protection locked="0"/>
    </xf>
    <xf numFmtId="0" fontId="14" fillId="7" borderId="11" xfId="0" applyFont="1" applyFill="1" applyBorder="1" applyAlignment="1" applyProtection="1">
      <alignment horizontal="center" vertical="center"/>
      <protection locked="0"/>
    </xf>
    <xf numFmtId="0" fontId="14" fillId="7" borderId="12" xfId="0" applyFont="1" applyFill="1" applyBorder="1" applyAlignment="1" applyProtection="1">
      <alignment horizontal="center" vertical="center"/>
      <protection locked="0"/>
    </xf>
    <xf numFmtId="0" fontId="14" fillId="13" borderId="10" xfId="0" applyFont="1" applyFill="1" applyBorder="1" applyAlignment="1" applyProtection="1">
      <alignment horizontal="center" vertical="center"/>
      <protection locked="0"/>
    </xf>
    <xf numFmtId="0" fontId="14" fillId="13" borderId="13" xfId="0" applyFont="1" applyFill="1" applyBorder="1" applyAlignment="1" applyProtection="1">
      <alignment horizontal="center" vertical="center"/>
      <protection locked="0"/>
    </xf>
    <xf numFmtId="0" fontId="14" fillId="9" borderId="9" xfId="0" applyFont="1" applyFill="1" applyBorder="1" applyAlignment="1" applyProtection="1">
      <alignment horizontal="center" vertical="center"/>
      <protection locked="0"/>
    </xf>
    <xf numFmtId="0" fontId="14" fillId="9" borderId="0" xfId="0" applyFont="1" applyFill="1" applyAlignment="1" applyProtection="1">
      <alignment horizontal="center" vertical="center"/>
      <protection locked="0"/>
    </xf>
    <xf numFmtId="0" fontId="7" fillId="10" borderId="3" xfId="0" applyFont="1" applyFill="1" applyBorder="1" applyAlignment="1">
      <alignment horizontal="center" vertical="center" wrapText="1"/>
    </xf>
    <xf numFmtId="14" fontId="7" fillId="0" borderId="3" xfId="0" applyNumberFormat="1" applyFont="1" applyBorder="1" applyAlignment="1">
      <alignment horizontal="center" vertical="center"/>
    </xf>
    <xf numFmtId="0" fontId="7" fillId="2" borderId="3" xfId="0" applyFont="1" applyFill="1" applyBorder="1" applyAlignment="1">
      <alignment horizontal="center" vertical="center"/>
    </xf>
    <xf numFmtId="0" fontId="7" fillId="2" borderId="15" xfId="0" applyFont="1" applyFill="1" applyBorder="1" applyAlignment="1">
      <alignment horizontal="center" vertical="center"/>
    </xf>
    <xf numFmtId="0" fontId="7" fillId="2" borderId="16" xfId="0" applyFont="1" applyFill="1" applyBorder="1" applyAlignment="1">
      <alignment horizontal="center" vertical="center"/>
    </xf>
    <xf numFmtId="0" fontId="7" fillId="2" borderId="17" xfId="0" applyFont="1" applyFill="1" applyBorder="1" applyAlignment="1">
      <alignment horizontal="center" vertical="center"/>
    </xf>
    <xf numFmtId="0" fontId="7" fillId="2" borderId="18" xfId="0" applyFont="1" applyFill="1" applyBorder="1" applyAlignment="1">
      <alignment horizontal="center" vertical="center"/>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5" borderId="3" xfId="0" applyFont="1" applyFill="1" applyBorder="1" applyAlignment="1">
      <alignment horizontal="center" vertical="center"/>
    </xf>
    <xf numFmtId="0" fontId="5" fillId="4" borderId="14" xfId="0" quotePrefix="1" applyFont="1" applyFill="1" applyBorder="1" applyAlignment="1">
      <alignment horizontal="left" vertical="center" wrapText="1"/>
    </xf>
    <xf numFmtId="0" fontId="5" fillId="4" borderId="7" xfId="0" quotePrefix="1" applyFont="1" applyFill="1" applyBorder="1" applyAlignment="1">
      <alignment horizontal="left" vertical="center" wrapText="1"/>
    </xf>
    <xf numFmtId="0" fontId="28" fillId="4" borderId="8" xfId="0" applyFont="1" applyFill="1" applyBorder="1" applyAlignment="1">
      <alignment horizontal="left" vertical="center" wrapText="1"/>
    </xf>
    <xf numFmtId="0" fontId="28" fillId="4" borderId="14" xfId="0" applyFont="1" applyFill="1" applyBorder="1" applyAlignment="1">
      <alignment horizontal="left" vertical="center" wrapText="1"/>
    </xf>
    <xf numFmtId="0" fontId="28" fillId="4" borderId="7" xfId="0" applyFont="1" applyFill="1" applyBorder="1" applyAlignment="1">
      <alignment horizontal="left" vertical="center" wrapText="1"/>
    </xf>
    <xf numFmtId="9" fontId="7" fillId="4" borderId="0" xfId="2" applyFont="1" applyFill="1" applyBorder="1" applyAlignment="1">
      <alignment horizontal="right" vertical="center"/>
    </xf>
    <xf numFmtId="9" fontId="7" fillId="4" borderId="0" xfId="2" applyFont="1" applyFill="1" applyBorder="1" applyAlignment="1">
      <alignment horizontal="center" vertical="center"/>
    </xf>
    <xf numFmtId="0" fontId="18" fillId="11" borderId="1" xfId="0" applyFont="1" applyFill="1" applyBorder="1" applyAlignment="1">
      <alignment horizontal="left" vertical="center"/>
    </xf>
    <xf numFmtId="0" fontId="7" fillId="13" borderId="3" xfId="0" applyFont="1" applyFill="1" applyBorder="1" applyAlignment="1">
      <alignment horizontal="left" vertical="center" wrapText="1"/>
    </xf>
  </cellXfs>
  <cellStyles count="104">
    <cellStyle name="Normal 2" xfId="3" xr:uid="{21CA2985-BC18-4EDB-B9A1-B523A9586319}"/>
    <cellStyle name="TableStyleLight1" xfId="102" xr:uid="{942842DE-7399-402E-82AD-2B3235F537EC}"/>
    <cellStyle name="백분율" xfId="2" builtinId="5"/>
    <cellStyle name="백분율 2" xfId="12" xr:uid="{6A67D281-4F9A-4E5E-BC18-AB120F81B1F6}"/>
    <cellStyle name="셀 확인 2" xfId="8" xr:uid="{B7111565-CF08-4735-AB93-7B1758A7DF65}"/>
    <cellStyle name="표준" xfId="0" builtinId="0"/>
    <cellStyle name="표준 10" xfId="101" xr:uid="{5B5F754D-D739-4860-82B9-54333878055A}"/>
    <cellStyle name="표준 2" xfId="1" xr:uid="{8A6ABFB9-2E76-4A44-A006-112062A498D1}"/>
    <cellStyle name="표준 2 2" xfId="7" xr:uid="{8FC0300B-9B37-40EC-8A98-63503BC4DF77}"/>
    <cellStyle name="표준 2 2 2" xfId="97" xr:uid="{41182CC3-D77F-4136-89DA-99295700F99A}"/>
    <cellStyle name="표준 2 3" xfId="25" xr:uid="{52AB1435-C42F-4031-9332-F606CC537220}"/>
    <cellStyle name="표준 2 4" xfId="95" xr:uid="{D71BE91C-C9FA-44B5-9025-AED9A0C576B9}"/>
    <cellStyle name="표준 2 5" xfId="16" xr:uid="{1C0A386F-0BEF-4388-A4EA-533206E4AD4F}"/>
    <cellStyle name="표준 3" xfId="5" xr:uid="{878C1539-D841-4452-8272-4B08F4E1FC3D}"/>
    <cellStyle name="표준 3 2" xfId="10" xr:uid="{496401BA-5C2F-4613-BF80-B819A165B27D}"/>
    <cellStyle name="표준 3 2 2" xfId="24" xr:uid="{A3EF746C-0558-4DB1-8BE1-8CAA1AD79837}"/>
    <cellStyle name="표준 3 2 2 2" xfId="90" xr:uid="{051488F6-C6EC-4F8C-AC6A-47EC9F7362FF}"/>
    <cellStyle name="표준 3 2 3" xfId="88" xr:uid="{F4450A9B-211F-4E9D-A6BD-67582B284577}"/>
    <cellStyle name="표준 3 2 4" xfId="96" xr:uid="{BE461C0A-21C6-4F6D-B4FB-691F32234D62}"/>
    <cellStyle name="표준 3 2 5" xfId="20" xr:uid="{18E016BA-0193-4280-83AD-5D7E233F22E8}"/>
    <cellStyle name="표준 3 3" xfId="11" xr:uid="{2386E83F-8C9B-4435-9958-C9EFA53A676E}"/>
    <cellStyle name="표준 3 3 2" xfId="91" xr:uid="{FCD79CF6-1606-4555-8F2D-AD72BF5F9C37}"/>
    <cellStyle name="표준 3 3 3" xfId="99" xr:uid="{85A924FE-5D7A-4492-90CD-F4B9ECE40C5C}"/>
    <cellStyle name="표준 3 3 4" xfId="85" xr:uid="{BC2F0D75-64A3-49A5-BFEF-46FACB84C006}"/>
    <cellStyle name="표준 3 4" xfId="19" xr:uid="{9B625274-A556-4DB5-A1F6-149BC385E402}"/>
    <cellStyle name="표준 3 4 2" xfId="92" xr:uid="{348B7FB9-FC26-4589-A111-CA80280913C3}"/>
    <cellStyle name="표준 3 4 3" xfId="86" xr:uid="{85FC43B0-110B-4D0F-8ACB-FFFDC6ACB2E3}"/>
    <cellStyle name="표준 3 5" xfId="27" xr:uid="{EEAF66A4-8768-4DE3-A635-411210470635}"/>
    <cellStyle name="표준 3 5 2" xfId="89" xr:uid="{8F1CB1DB-C627-422E-9F13-0B4FB7019B8C}"/>
    <cellStyle name="표준 3 6" xfId="87" xr:uid="{BDAF3B7F-28ED-4E87-85BF-AA876EB829F8}"/>
    <cellStyle name="표준 3 7" xfId="94" xr:uid="{A3F8C63A-F7C9-4D14-969C-EEDD7D72E8D5}"/>
    <cellStyle name="표준 3 8" xfId="17" xr:uid="{5D6B7847-1DEC-4C3F-B0ED-0A34189EAEF3}"/>
    <cellStyle name="표준 4" xfId="6" xr:uid="{2F016C74-5516-489F-9514-A89EBFC9C50B}"/>
    <cellStyle name="표준 4 2" xfId="21" xr:uid="{B1B6769D-EB8C-4651-A162-6DA044B975CF}"/>
    <cellStyle name="표준 4 2 2" xfId="32" xr:uid="{E1578A80-8678-44F5-89EA-505D71A82B64}"/>
    <cellStyle name="표준 4 2 2 2" xfId="40" xr:uid="{6DDF17CC-4938-4B1B-B135-52CD04F35029}"/>
    <cellStyle name="표준 4 2 2 2 2" xfId="70" xr:uid="{2922A38F-FB0D-4878-B68E-381B8C9BD264}"/>
    <cellStyle name="표준 4 2 2 3" xfId="52" xr:uid="{67AB30FD-18DA-441E-BD50-E808821C38ED}"/>
    <cellStyle name="표준 4 2 2 3 2" xfId="82" xr:uid="{DF3012D5-69C3-485F-A9CE-9F173B8C50C2}"/>
    <cellStyle name="표준 4 2 2 4" xfId="61" xr:uid="{339B76E7-1B47-46D1-8A3A-DF73A831E372}"/>
    <cellStyle name="표준 4 2 3" xfId="36" xr:uid="{6885DD5E-751C-43ED-B2E3-0368814A71B5}"/>
    <cellStyle name="표준 4 2 3 2" xfId="66" xr:uid="{29DF9C09-DE78-4E7C-BCCF-76088FC37F5C}"/>
    <cellStyle name="표준 4 2 4" xfId="48" xr:uid="{767D70D7-C400-489E-B5DD-2C0F0621454C}"/>
    <cellStyle name="표준 4 2 4 2" xfId="78" xr:uid="{C539A0C9-E3D2-49DD-8AAA-A5B75A6EE52E}"/>
    <cellStyle name="표준 4 2 4 3" xfId="98" xr:uid="{C155A5EF-29C7-48F6-8671-F104F82F2083}"/>
    <cellStyle name="표준 4 2 5" xfId="57" xr:uid="{498B6FA4-E19B-40AD-B63A-D955090940AE}"/>
    <cellStyle name="표준 4 3" xfId="22" xr:uid="{889E97BC-0431-4EB6-A4AB-89E26ED57549}"/>
    <cellStyle name="표준 4 3 2" xfId="30" xr:uid="{6AF8017D-5AED-4C11-ACBF-1AD1CC517494}"/>
    <cellStyle name="표준 4 3 2 2" xfId="38" xr:uid="{BAE8165C-445E-4E72-BD94-96D211D37531}"/>
    <cellStyle name="표준 4 3 2 2 2" xfId="68" xr:uid="{3B4DBE79-B3F7-42B7-AE7E-11713767B98B}"/>
    <cellStyle name="표준 4 3 2 3" xfId="50" xr:uid="{4404111C-C68C-4E51-9E72-9C0C7797E8CD}"/>
    <cellStyle name="표준 4 3 2 3 2" xfId="80" xr:uid="{F35981DA-D059-4BBA-A009-224B6688D805}"/>
    <cellStyle name="표준 4 3 2 4" xfId="59" xr:uid="{FDDC5E35-068E-4F7F-9D71-320EB869F69A}"/>
    <cellStyle name="표준 4 3 3" xfId="34" xr:uid="{AD6E7074-53BD-4E61-B687-56CA2CDD4D93}"/>
    <cellStyle name="표준 4 3 3 2" xfId="64" xr:uid="{F8E02117-99E0-4725-BF15-92052EDC5E3A}"/>
    <cellStyle name="표준 4 3 4" xfId="46" xr:uid="{712948AF-0131-4C31-971C-76710F46A400}"/>
    <cellStyle name="표준 4 3 4 2" xfId="76" xr:uid="{28E356C4-93A2-43C9-ABAC-7B482AC2EF79}"/>
    <cellStyle name="표준 4 3 5" xfId="55" xr:uid="{FCA58A4C-7E6B-4599-9E0B-807E25FF1768}"/>
    <cellStyle name="표준 4 3 6" xfId="28" xr:uid="{C7F7A524-6C8C-41BE-80E8-D18D9C3092E0}"/>
    <cellStyle name="표준 4 4" xfId="29" xr:uid="{A6347FFC-86F6-4186-B598-E17EBCEEBDCE}"/>
    <cellStyle name="표준 4 4 2" xfId="37" xr:uid="{E0FFF4B1-9E88-45CE-AAD1-D46A2C6A8321}"/>
    <cellStyle name="표준 4 4 2 2" xfId="67" xr:uid="{A24E3FC2-A500-4CDD-AE27-C3C1496C649C}"/>
    <cellStyle name="표준 4 4 3" xfId="49" xr:uid="{64E93522-0C72-4862-A8C8-1537044330E0}"/>
    <cellStyle name="표준 4 4 3 2" xfId="79" xr:uid="{1A0AA6F2-F492-4304-88A5-DAFD40A378A8}"/>
    <cellStyle name="표준 4 4 4" xfId="58" xr:uid="{44D80996-FFE3-4DF4-82C9-D8FDBA68358F}"/>
    <cellStyle name="표준 4 5" xfId="33" xr:uid="{36C999DC-5CF4-4472-9260-345955D43E6C}"/>
    <cellStyle name="표준 4 5 2" xfId="63" xr:uid="{E678FCA9-0B3C-48F7-8FB1-6709E3254C68}"/>
    <cellStyle name="표준 4 6" xfId="45" xr:uid="{641E3FED-E926-4232-9943-0FA7B2575BEF}"/>
    <cellStyle name="표준 4 6 2" xfId="75" xr:uid="{614864A0-11D8-4E73-95E5-4D72B5F4DB6F}"/>
    <cellStyle name="표준 4 7" xfId="54" xr:uid="{D3FBD028-43EF-4DFA-9DE1-F204D5B89A86}"/>
    <cellStyle name="표준 4 8" xfId="18" xr:uid="{00DED533-14DE-425F-995C-FD97114AA99B}"/>
    <cellStyle name="표준 5" xfId="9" xr:uid="{DCAAEB4A-9330-4E00-BBCA-42839C92D4A0}"/>
    <cellStyle name="표준 5 2" xfId="31" xr:uid="{CB31794A-FAD6-4AD7-B621-44F358B04DD8}"/>
    <cellStyle name="표준 5 2 2" xfId="39" xr:uid="{A76A1283-1D6D-47F8-B79B-E6094BCF5EDB}"/>
    <cellStyle name="표준 5 2 2 2" xfId="69" xr:uid="{56F46E8C-57F5-45BB-89F5-95AB74B5B3BF}"/>
    <cellStyle name="표준 5 2 3" xfId="51" xr:uid="{2B1C64CB-A266-44FB-946C-BA971754A820}"/>
    <cellStyle name="표준 5 2 3 2" xfId="81" xr:uid="{47F078C6-3DEC-4E80-9CA8-2292C38A8FA5}"/>
    <cellStyle name="표준 5 2 4" xfId="60" xr:uid="{E3E1F71B-9717-4890-ABEE-48809E80E561}"/>
    <cellStyle name="표준 5 3" xfId="35" xr:uid="{599675FD-3CC2-4E9D-902C-252533EFA1E1}"/>
    <cellStyle name="표준 5 3 2" xfId="65" xr:uid="{B9E2FA60-956F-40B5-8F61-5CAA0CC78290}"/>
    <cellStyle name="표준 5 4" xfId="47" xr:uid="{4C920421-3E20-47A1-9487-77240EF71CDC}"/>
    <cellStyle name="표준 5 4 2" xfId="77" xr:uid="{E40C2F69-EE73-4067-9E0D-E0EDDDAB6280}"/>
    <cellStyle name="표준 5 5" xfId="56" xr:uid="{201FEBAC-4A0B-4EC7-9B10-E78D0705C9F0}"/>
    <cellStyle name="표준 6" xfId="13" xr:uid="{6428FCD5-B4EE-4ACA-8947-E62CD87430A0}"/>
    <cellStyle name="표준 6 2" xfId="41" xr:uid="{1CF848F0-5786-4E85-A514-99A2A5197C4D}"/>
    <cellStyle name="표준 6 2 2" xfId="71" xr:uid="{EDEE4DF2-D381-4C3C-AD61-861A4C6DE328}"/>
    <cellStyle name="표준 6 3" xfId="43" xr:uid="{882163C9-8658-4BBE-9A2E-F08EE42A2C79}"/>
    <cellStyle name="표준 6 3 2" xfId="73" xr:uid="{B2638FC4-D011-43F1-91C1-9611F64B8D00}"/>
    <cellStyle name="표준 6 4" xfId="53" xr:uid="{9345A133-0AF0-4C40-8AD8-4032BD6B3032}"/>
    <cellStyle name="표준 6 4 2" xfId="83" xr:uid="{7C76BFEB-20FC-4642-8616-07A5F0C2BE08}"/>
    <cellStyle name="표준 6 5" xfId="62" xr:uid="{8D048EC7-FCE0-4364-8FB3-9838232DB21E}"/>
    <cellStyle name="표준 6 6" xfId="93" xr:uid="{2DCC7BD5-F996-41A7-837D-D619C05CB241}"/>
    <cellStyle name="표준 7" xfId="4" xr:uid="{158C7159-5E75-4E0D-9719-C11D1882B626}"/>
    <cellStyle name="표준 7 2" xfId="14" xr:uid="{FD211026-41D2-4435-A3E6-12ECA9DB4E94}"/>
    <cellStyle name="표준 7 3" xfId="72" xr:uid="{FF14A908-7E92-4DA7-8DF8-ABAF3993CC49}"/>
    <cellStyle name="표준 7 4" xfId="42" xr:uid="{5F688D68-BA88-414A-9D0C-2C4AF04483E1}"/>
    <cellStyle name="표준 8" xfId="15" xr:uid="{FF12E126-AAB9-43C5-9062-542FDB039CEA}"/>
    <cellStyle name="표준 8 2" xfId="74" xr:uid="{AEE3CFB3-B66A-47FB-95C3-535E29683FE1}"/>
    <cellStyle name="표준 8 3" xfId="44" xr:uid="{D4F55E58-6498-4CBE-98C4-B9CA72CD8575}"/>
    <cellStyle name="표준 9" xfId="26" xr:uid="{9E11634C-AA37-442D-865F-F207CA929849}"/>
    <cellStyle name="하이퍼링크" xfId="103" builtinId="8"/>
    <cellStyle name="하이퍼링크 2" xfId="23" xr:uid="{7F4029AA-BBB2-4BFF-A8B9-EDDE43D7EEF4}"/>
    <cellStyle name="하이퍼링크 2 2" xfId="84" xr:uid="{BF28785E-4966-4645-BC19-0B1440D280FD}"/>
    <cellStyle name="하이퍼링크 3" xfId="100" xr:uid="{1617A6B2-7107-440F-BFE4-91600878DE16}"/>
  </cellStyles>
  <dxfs count="4">
    <dxf>
      <font>
        <b/>
        <i val="0"/>
        <color theme="1"/>
      </font>
      <fill>
        <patternFill>
          <bgColor theme="4" tint="0.59996337778862885"/>
        </patternFill>
      </fill>
    </dxf>
    <dxf>
      <font>
        <b/>
        <i val="0"/>
        <color theme="0" tint="-4.9989318521683403E-2"/>
      </font>
      <fill>
        <patternFill>
          <bgColor rgb="FFFF0000"/>
        </patternFill>
      </fill>
    </dxf>
    <dxf>
      <font>
        <b/>
        <i val="0"/>
        <color theme="1"/>
      </font>
      <fill>
        <patternFill>
          <bgColor theme="9" tint="0.59996337778862885"/>
        </patternFill>
      </fill>
    </dxf>
    <dxf>
      <fill>
        <patternFill>
          <bgColor theme="0" tint="-0.14996795556505021"/>
        </patternFill>
      </fill>
    </dxf>
  </dxfs>
  <tableStyles count="0" defaultTableStyle="TableStyleMedium2" defaultPivotStyle="PivotStyleLight16"/>
  <colors>
    <mruColors>
      <color rgb="FF0000FF"/>
      <color rgb="FF2BF53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11</xdr:col>
      <xdr:colOff>1151579</xdr:colOff>
      <xdr:row>1</xdr:row>
      <xdr:rowOff>6583</xdr:rowOff>
    </xdr:from>
    <xdr:ext cx="1298188" cy="376004"/>
    <xdr:pic>
      <xdr:nvPicPr>
        <xdr:cNvPr id="3" name="그림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875406" y="226391"/>
          <a:ext cx="1298188" cy="3760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5</xdr:col>
      <xdr:colOff>73271</xdr:colOff>
      <xdr:row>54</xdr:row>
      <xdr:rowOff>620883</xdr:rowOff>
    </xdr:from>
    <xdr:to>
      <xdr:col>5</xdr:col>
      <xdr:colOff>2496887</xdr:colOff>
      <xdr:row>54</xdr:row>
      <xdr:rowOff>2225479</xdr:rowOff>
    </xdr:to>
    <xdr:pic>
      <xdr:nvPicPr>
        <xdr:cNvPr id="2" name="그림 1">
          <a:extLst>
            <a:ext uri="{FF2B5EF4-FFF2-40B4-BE49-F238E27FC236}">
              <a16:creationId xmlns:a16="http://schemas.microsoft.com/office/drawing/2014/main" id="{A46FBE11-1212-37E3-A66A-236F9B636CAC}"/>
            </a:ext>
          </a:extLst>
        </xdr:cNvPr>
        <xdr:cNvPicPr>
          <a:picLocks noChangeAspect="1"/>
        </xdr:cNvPicPr>
      </xdr:nvPicPr>
      <xdr:blipFill>
        <a:blip xmlns:r="http://schemas.openxmlformats.org/officeDocument/2006/relationships" r:embed="rId2"/>
        <a:stretch>
          <a:fillRect/>
        </a:stretch>
      </xdr:blipFill>
      <xdr:spPr>
        <a:xfrm>
          <a:off x="8733694" y="34361364"/>
          <a:ext cx="2414091" cy="160840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293369</xdr:colOff>
      <xdr:row>1</xdr:row>
      <xdr:rowOff>76200</xdr:rowOff>
    </xdr:from>
    <xdr:to>
      <xdr:col>7</xdr:col>
      <xdr:colOff>590549</xdr:colOff>
      <xdr:row>3</xdr:row>
      <xdr:rowOff>76200</xdr:rowOff>
    </xdr:to>
    <xdr:sp macro="" textlink="">
      <xdr:nvSpPr>
        <xdr:cNvPr id="3" name="TextBox 2">
          <a:extLst>
            <a:ext uri="{FF2B5EF4-FFF2-40B4-BE49-F238E27FC236}">
              <a16:creationId xmlns:a16="http://schemas.microsoft.com/office/drawing/2014/main" id="{9B057748-7436-4397-4A8F-AE6440891108}"/>
            </a:ext>
          </a:extLst>
        </xdr:cNvPr>
        <xdr:cNvSpPr txBox="1"/>
      </xdr:nvSpPr>
      <xdr:spPr>
        <a:xfrm>
          <a:off x="293369" y="295275"/>
          <a:ext cx="5031105" cy="4381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2000"/>
            <a:t>POWER</a:t>
          </a:r>
          <a:r>
            <a:rPr lang="en-US" altLang="ko-KR" sz="2000" baseline="0"/>
            <a:t> UP &amp; Initialization </a:t>
          </a:r>
        </a:p>
      </xdr:txBody>
    </xdr:sp>
    <xdr:clientData/>
  </xdr:twoCellAnchor>
  <xdr:twoCellAnchor>
    <xdr:from>
      <xdr:col>0</xdr:col>
      <xdr:colOff>605790</xdr:colOff>
      <xdr:row>24</xdr:row>
      <xdr:rowOff>34290</xdr:rowOff>
    </xdr:from>
    <xdr:to>
      <xdr:col>13</xdr:col>
      <xdr:colOff>39211</xdr:colOff>
      <xdr:row>30</xdr:row>
      <xdr:rowOff>74295</xdr:rowOff>
    </xdr:to>
    <xdr:sp macro="" textlink="">
      <xdr:nvSpPr>
        <xdr:cNvPr id="4" name="텍스트 개체 틀 7">
          <a:extLst>
            <a:ext uri="{FF2B5EF4-FFF2-40B4-BE49-F238E27FC236}">
              <a16:creationId xmlns:a16="http://schemas.microsoft.com/office/drawing/2014/main" id="{7CD6F8DF-7551-EE5E-B825-F3F9C136FF93}"/>
            </a:ext>
          </a:extLst>
        </xdr:cNvPr>
        <xdr:cNvSpPr>
          <a:spLocks noGrp="1"/>
        </xdr:cNvSpPr>
      </xdr:nvSpPr>
      <xdr:spPr>
        <a:xfrm>
          <a:off x="605790" y="5292090"/>
          <a:ext cx="8224996" cy="1354455"/>
        </a:xfrm>
        <a:prstGeom prst="rect">
          <a:avLst/>
        </a:prstGeom>
      </xdr:spPr>
      <xdr:txBody>
        <a:bodyPr wrap="square">
          <a:noAutofit/>
        </a:bodyPr>
        <a:lstStyle>
          <a:lvl1pPr marL="0" indent="0" algn="l" defTabSz="914400" rtl="0" eaLnBrk="1" latinLnBrk="1" hangingPunct="1">
            <a:lnSpc>
              <a:spcPct val="100000"/>
            </a:lnSpc>
            <a:spcBef>
              <a:spcPts val="45"/>
            </a:spcBef>
            <a:buFont typeface="Arial" panose="020B0604020202020204" pitchFamily="34" charset="0"/>
            <a:buNone/>
            <a:defRPr kumimoji="1" lang="ko-KR" altLang="en-US" sz="1400" b="0" i="0" u="none" strike="noStrike" kern="1200" cap="none" spc="0" normalizeH="0" baseline="0" dirty="0">
              <a:ln>
                <a:noFill/>
              </a:ln>
              <a:solidFill>
                <a:schemeClr val="tx1"/>
              </a:solidFill>
              <a:effectLst/>
              <a:uLnTx/>
              <a:uFillTx/>
              <a:latin typeface="Samsung Sharp Sans Medium" pitchFamily="2" charset="0"/>
              <a:ea typeface="SamsungOneKorean 400" panose="020B0503030303020204" pitchFamily="50" charset="-127"/>
              <a:cs typeface="Samsung Sharp Sans Medium" pitchFamily="2" charset="0"/>
            </a:defRPr>
          </a:lvl1pPr>
          <a:lvl2pPr marL="685800" indent="-228600" algn="l" defTabSz="914400" rtl="0" eaLnBrk="1" latinLnBrk="1" hangingPunct="1">
            <a:lnSpc>
              <a:spcPct val="90000"/>
            </a:lnSpc>
            <a:spcBef>
              <a:spcPts val="500"/>
            </a:spcBef>
            <a:buFont typeface="Arial" panose="020B0604020202020204" pitchFamily="34" charset="0"/>
            <a:buChar char="•"/>
            <a:defRPr sz="2400" kern="1200">
              <a:solidFill>
                <a:schemeClr val="tx1"/>
              </a:solidFill>
              <a:latin typeface="+mn-lt"/>
              <a:ea typeface="+mn-ea"/>
              <a:cs typeface="+mn-cs"/>
            </a:defRPr>
          </a:lvl2pPr>
          <a:lvl3pPr marL="1143000" indent="-228600" algn="l" defTabSz="914400" rtl="0" eaLnBrk="1" latinLnBrk="1" hangingPunct="1">
            <a:lnSpc>
              <a:spcPct val="90000"/>
            </a:lnSpc>
            <a:spcBef>
              <a:spcPts val="500"/>
            </a:spcBef>
            <a:buFont typeface="Arial" panose="020B0604020202020204" pitchFamily="34" charset="0"/>
            <a:buChar char="•"/>
            <a:defRPr sz="2000" kern="1200">
              <a:solidFill>
                <a:schemeClr val="tx1"/>
              </a:solidFill>
              <a:latin typeface="+mn-lt"/>
              <a:ea typeface="+mn-ea"/>
              <a:cs typeface="+mn-cs"/>
            </a:defRPr>
          </a:lvl3pPr>
          <a:lvl4pPr marL="1600200" indent="-228600" algn="l" defTabSz="914400" rtl="0" eaLnBrk="1" latinLnBrk="1"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4pPr>
          <a:lvl5pPr marL="2057400" indent="-228600" algn="l" defTabSz="914400" rtl="0" eaLnBrk="1" latinLnBrk="1"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5pPr>
          <a:lvl6pPr marL="2514600" indent="-228600" algn="l" defTabSz="914400" rtl="0" eaLnBrk="1" latinLnBrk="1"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6pPr>
          <a:lvl7pPr marL="2971800" indent="-228600" algn="l" defTabSz="914400" rtl="0" eaLnBrk="1" latinLnBrk="1"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7pPr>
          <a:lvl8pPr marL="3429000" indent="-228600" algn="l" defTabSz="914400" rtl="0" eaLnBrk="1" latinLnBrk="1"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8pPr>
          <a:lvl9pPr marL="3886200" indent="-228600" algn="l" defTabSz="914400" rtl="0" eaLnBrk="1" latinLnBrk="1"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9pPr>
        </a:lstStyle>
        <a:p>
          <a:pPr hangingPunct="0"/>
          <a:r>
            <a:rPr kumimoji="1" lang="en-US" altLang="ko-KR" sz="1400" b="0" i="0" u="none" strike="noStrike" kern="1200" cap="none" spc="0" normalizeH="0" baseline="0" dirty="0">
              <a:ln>
                <a:noFill/>
              </a:ln>
              <a:solidFill>
                <a:schemeClr val="tx1"/>
              </a:solidFill>
              <a:effectLst/>
              <a:uLnTx/>
              <a:uFillTx/>
              <a:latin typeface="Samsung Sharp Sans Medium" pitchFamily="2" charset="0"/>
              <a:ea typeface="SamsungOneKorean 400" panose="020B0503030303020204" pitchFamily="50" charset="-127"/>
              <a:cs typeface="Samsung Sharp Sans Medium" pitchFamily="2" charset="0"/>
            </a:rPr>
            <a:t>T1: Assert reset(i_reset_n) And configure the initial setting of PCS and PMA</a:t>
          </a:r>
          <a:endParaRPr kumimoji="1" lang="ko-KR" altLang="ko-KR" sz="1400" b="0" i="0" u="none" strike="noStrike" kern="1200" cap="none" spc="0" normalizeH="0" baseline="0" dirty="0">
            <a:ln>
              <a:noFill/>
            </a:ln>
            <a:solidFill>
              <a:schemeClr val="tx1"/>
            </a:solidFill>
            <a:effectLst/>
            <a:uLnTx/>
            <a:uFillTx/>
            <a:latin typeface="Samsung Sharp Sans Medium" pitchFamily="2" charset="0"/>
            <a:ea typeface="SamsungOneKorean 400" panose="020B0503030303020204" pitchFamily="50" charset="-127"/>
            <a:cs typeface="Samsung Sharp Sans Medium" pitchFamily="2" charset="0"/>
          </a:endParaRPr>
        </a:p>
        <a:p>
          <a:pPr hangingPunct="0"/>
          <a:r>
            <a:rPr kumimoji="1" lang="en-US" altLang="ko-KR" sz="1400" b="0" i="0" u="none" strike="noStrike" kern="1200" cap="none" spc="0" normalizeH="0" baseline="0" dirty="0">
              <a:ln>
                <a:noFill/>
              </a:ln>
              <a:solidFill>
                <a:schemeClr val="tx1"/>
              </a:solidFill>
              <a:effectLst/>
              <a:uLnTx/>
              <a:uFillTx/>
              <a:latin typeface="Samsung Sharp Sans Medium" pitchFamily="2" charset="0"/>
              <a:ea typeface="SamsungOneKorean 400" panose="020B0503030303020204" pitchFamily="50" charset="-127"/>
              <a:cs typeface="Samsung Sharp Sans Medium" pitchFamily="2" charset="0"/>
            </a:rPr>
            <a:t>T2: After the clock lock is completed, configure PCS and PMA to start.</a:t>
          </a:r>
          <a:endParaRPr kumimoji="1" lang="ko-KR" altLang="ko-KR" sz="1400" b="0" i="0" u="none" strike="noStrike" kern="1200" cap="none" spc="0" normalizeH="0" baseline="0" dirty="0">
            <a:ln>
              <a:noFill/>
            </a:ln>
            <a:solidFill>
              <a:schemeClr val="tx1"/>
            </a:solidFill>
            <a:effectLst/>
            <a:uLnTx/>
            <a:uFillTx/>
            <a:latin typeface="Samsung Sharp Sans Medium" pitchFamily="2" charset="0"/>
            <a:ea typeface="SamsungOneKorean 400" panose="020B0503030303020204" pitchFamily="50" charset="-127"/>
            <a:cs typeface="Samsung Sharp Sans Medium" pitchFamily="2" charset="0"/>
          </a:endParaRPr>
        </a:p>
        <a:p>
          <a:pPr hangingPunct="0"/>
          <a:r>
            <a:rPr kumimoji="1" lang="en-US" altLang="ko-KR" sz="1400" b="0" i="0" u="none" strike="noStrike" kern="1200" cap="none" spc="0" normalizeH="0" baseline="0" dirty="0">
              <a:ln>
                <a:noFill/>
              </a:ln>
              <a:solidFill>
                <a:schemeClr val="tx1"/>
              </a:solidFill>
              <a:effectLst/>
              <a:uLnTx/>
              <a:uFillTx/>
              <a:latin typeface="Samsung Sharp Sans Medium" pitchFamily="2" charset="0"/>
              <a:ea typeface="SamsungOneKorean 400" panose="020B0503030303020204" pitchFamily="50" charset="-127"/>
              <a:cs typeface="Samsung Sharp Sans Medium" pitchFamily="2" charset="0"/>
            </a:rPr>
            <a:t>T3: If Auto Negotiation is enabled at T1, Check the the “an_complete” flag by polling the apb or using an interrupt.</a:t>
          </a:r>
          <a:endParaRPr kumimoji="1" lang="ko-KR" altLang="ko-KR" sz="1400" b="0" i="0" u="none" strike="noStrike" kern="1200" cap="none" spc="0" normalizeH="0" baseline="0" dirty="0">
            <a:ln>
              <a:noFill/>
            </a:ln>
            <a:solidFill>
              <a:schemeClr val="tx1"/>
            </a:solidFill>
            <a:effectLst/>
            <a:uLnTx/>
            <a:uFillTx/>
            <a:latin typeface="Samsung Sharp Sans Medium" pitchFamily="2" charset="0"/>
            <a:ea typeface="SamsungOneKorean 400" panose="020B0503030303020204" pitchFamily="50" charset="-127"/>
            <a:cs typeface="Samsung Sharp Sans Medium" pitchFamily="2" charset="0"/>
          </a:endParaRPr>
        </a:p>
        <a:p>
          <a:pPr hangingPunct="0"/>
          <a:r>
            <a:rPr kumimoji="1" lang="en-US" altLang="ko-KR" sz="1400" b="0" i="0" u="none" strike="noStrike" kern="1200" cap="none" spc="0" normalizeH="0" baseline="0" dirty="0">
              <a:ln>
                <a:noFill/>
              </a:ln>
              <a:solidFill>
                <a:schemeClr val="tx1"/>
              </a:solidFill>
              <a:effectLst/>
              <a:uLnTx/>
              <a:uFillTx/>
              <a:latin typeface="Samsung Sharp Sans Medium" pitchFamily="2" charset="0"/>
              <a:ea typeface="SamsungOneKorean 400" panose="020B0503030303020204" pitchFamily="50" charset="-127"/>
              <a:cs typeface="Samsung Sharp Sans Medium" pitchFamily="2" charset="0"/>
            </a:rPr>
            <a:t>T4: If Auto Negotiation is enabled at T1, Reconfigure the speed according to the AN results</a:t>
          </a:r>
          <a:endParaRPr kumimoji="1" lang="ko-KR" altLang="ko-KR" sz="1400" b="0" i="0" u="none" strike="noStrike" kern="1200" cap="none" spc="0" normalizeH="0" baseline="0" dirty="0">
            <a:ln>
              <a:noFill/>
            </a:ln>
            <a:solidFill>
              <a:schemeClr val="tx1"/>
            </a:solidFill>
            <a:effectLst/>
            <a:uLnTx/>
            <a:uFillTx/>
            <a:latin typeface="Samsung Sharp Sans Medium" pitchFamily="2" charset="0"/>
            <a:ea typeface="SamsungOneKorean 400" panose="020B0503030303020204" pitchFamily="50" charset="-127"/>
            <a:cs typeface="Samsung Sharp Sans Medium" pitchFamily="2" charset="0"/>
          </a:endParaRPr>
        </a:p>
      </xdr:txBody>
    </xdr:sp>
    <xdr:clientData/>
  </xdr:twoCellAnchor>
  <xdr:twoCellAnchor>
    <xdr:from>
      <xdr:col>0</xdr:col>
      <xdr:colOff>330200</xdr:colOff>
      <xdr:row>30</xdr:row>
      <xdr:rowOff>12066</xdr:rowOff>
    </xdr:from>
    <xdr:to>
      <xdr:col>11</xdr:col>
      <xdr:colOff>104775</xdr:colOff>
      <xdr:row>32</xdr:row>
      <xdr:rowOff>5716</xdr:rowOff>
    </xdr:to>
    <xdr:sp macro="" textlink="">
      <xdr:nvSpPr>
        <xdr:cNvPr id="5" name="TextBox 4">
          <a:extLst>
            <a:ext uri="{FF2B5EF4-FFF2-40B4-BE49-F238E27FC236}">
              <a16:creationId xmlns:a16="http://schemas.microsoft.com/office/drawing/2014/main" id="{576CBB1B-F6AE-5F60-B749-81D1E12E23FC}"/>
            </a:ext>
          </a:extLst>
        </xdr:cNvPr>
        <xdr:cNvSpPr txBox="1"/>
      </xdr:nvSpPr>
      <xdr:spPr>
        <a:xfrm>
          <a:off x="330200" y="6584316"/>
          <a:ext cx="7213600" cy="431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2000"/>
            <a:t>POWER</a:t>
          </a:r>
          <a:r>
            <a:rPr lang="en-US" altLang="ko-KR" sz="2000" baseline="0"/>
            <a:t> DOWN SEQUENCE</a:t>
          </a:r>
        </a:p>
      </xdr:txBody>
    </xdr:sp>
    <xdr:clientData/>
  </xdr:twoCellAnchor>
  <xdr:twoCellAnchor editAs="oneCell">
    <xdr:from>
      <xdr:col>0</xdr:col>
      <xdr:colOff>668655</xdr:colOff>
      <xdr:row>4</xdr:row>
      <xdr:rowOff>102869</xdr:rowOff>
    </xdr:from>
    <xdr:to>
      <xdr:col>13</xdr:col>
      <xdr:colOff>581025</xdr:colOff>
      <xdr:row>21</xdr:row>
      <xdr:rowOff>144549</xdr:rowOff>
    </xdr:to>
    <xdr:pic>
      <xdr:nvPicPr>
        <xdr:cNvPr id="7" name="그림 6">
          <a:extLst>
            <a:ext uri="{FF2B5EF4-FFF2-40B4-BE49-F238E27FC236}">
              <a16:creationId xmlns:a16="http://schemas.microsoft.com/office/drawing/2014/main" id="{3CD54250-B789-ED3B-6896-890CDA0EE2E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8655" y="979169"/>
          <a:ext cx="8703945" cy="3765955"/>
        </a:xfrm>
        <a:prstGeom prst="rect">
          <a:avLst/>
        </a:prstGeom>
        <a:noFill/>
      </xdr:spPr>
    </xdr:pic>
    <xdr:clientData/>
  </xdr:twoCellAnchor>
  <xdr:twoCellAnchor>
    <xdr:from>
      <xdr:col>0</xdr:col>
      <xdr:colOff>596265</xdr:colOff>
      <xdr:row>32</xdr:row>
      <xdr:rowOff>24765</xdr:rowOff>
    </xdr:from>
    <xdr:to>
      <xdr:col>13</xdr:col>
      <xdr:colOff>29686</xdr:colOff>
      <xdr:row>38</xdr:row>
      <xdr:rowOff>64770</xdr:rowOff>
    </xdr:to>
    <xdr:sp macro="" textlink="">
      <xdr:nvSpPr>
        <xdr:cNvPr id="8" name="텍스트 개체 틀 7">
          <a:extLst>
            <a:ext uri="{FF2B5EF4-FFF2-40B4-BE49-F238E27FC236}">
              <a16:creationId xmlns:a16="http://schemas.microsoft.com/office/drawing/2014/main" id="{CC86A5B8-576E-1EB2-8887-02B064997BD9}"/>
            </a:ext>
          </a:extLst>
        </xdr:cNvPr>
        <xdr:cNvSpPr>
          <a:spLocks noGrp="1"/>
        </xdr:cNvSpPr>
      </xdr:nvSpPr>
      <xdr:spPr>
        <a:xfrm>
          <a:off x="596265" y="7035165"/>
          <a:ext cx="8224996" cy="1354455"/>
        </a:xfrm>
        <a:prstGeom prst="rect">
          <a:avLst/>
        </a:prstGeom>
      </xdr:spPr>
      <xdr:txBody>
        <a:bodyPr wrap="square">
          <a:noAutofit/>
        </a:bodyPr>
        <a:lstStyle>
          <a:lvl1pPr marL="0" indent="0" algn="l" defTabSz="914400" rtl="0" eaLnBrk="1" latinLnBrk="1" hangingPunct="1">
            <a:lnSpc>
              <a:spcPct val="100000"/>
            </a:lnSpc>
            <a:spcBef>
              <a:spcPts val="45"/>
            </a:spcBef>
            <a:buFont typeface="Arial" panose="020B0604020202020204" pitchFamily="34" charset="0"/>
            <a:buNone/>
            <a:defRPr kumimoji="1" lang="ko-KR" altLang="en-US" sz="1400" b="0" i="0" u="none" strike="noStrike" kern="1200" cap="none" spc="0" normalizeH="0" baseline="0" dirty="0">
              <a:ln>
                <a:noFill/>
              </a:ln>
              <a:solidFill>
                <a:schemeClr val="tx1"/>
              </a:solidFill>
              <a:effectLst/>
              <a:uLnTx/>
              <a:uFillTx/>
              <a:latin typeface="Samsung Sharp Sans Medium" pitchFamily="2" charset="0"/>
              <a:ea typeface="SamsungOneKorean 400" panose="020B0503030303020204" pitchFamily="50" charset="-127"/>
              <a:cs typeface="Samsung Sharp Sans Medium" pitchFamily="2" charset="0"/>
            </a:defRPr>
          </a:lvl1pPr>
          <a:lvl2pPr marL="685800" indent="-228600" algn="l" defTabSz="914400" rtl="0" eaLnBrk="1" latinLnBrk="1" hangingPunct="1">
            <a:lnSpc>
              <a:spcPct val="90000"/>
            </a:lnSpc>
            <a:spcBef>
              <a:spcPts val="500"/>
            </a:spcBef>
            <a:buFont typeface="Arial" panose="020B0604020202020204" pitchFamily="34" charset="0"/>
            <a:buChar char="•"/>
            <a:defRPr sz="2400" kern="1200">
              <a:solidFill>
                <a:schemeClr val="tx1"/>
              </a:solidFill>
              <a:latin typeface="+mn-lt"/>
              <a:ea typeface="+mn-ea"/>
              <a:cs typeface="+mn-cs"/>
            </a:defRPr>
          </a:lvl2pPr>
          <a:lvl3pPr marL="1143000" indent="-228600" algn="l" defTabSz="914400" rtl="0" eaLnBrk="1" latinLnBrk="1" hangingPunct="1">
            <a:lnSpc>
              <a:spcPct val="90000"/>
            </a:lnSpc>
            <a:spcBef>
              <a:spcPts val="500"/>
            </a:spcBef>
            <a:buFont typeface="Arial" panose="020B0604020202020204" pitchFamily="34" charset="0"/>
            <a:buChar char="•"/>
            <a:defRPr sz="2000" kern="1200">
              <a:solidFill>
                <a:schemeClr val="tx1"/>
              </a:solidFill>
              <a:latin typeface="+mn-lt"/>
              <a:ea typeface="+mn-ea"/>
              <a:cs typeface="+mn-cs"/>
            </a:defRPr>
          </a:lvl3pPr>
          <a:lvl4pPr marL="1600200" indent="-228600" algn="l" defTabSz="914400" rtl="0" eaLnBrk="1" latinLnBrk="1"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4pPr>
          <a:lvl5pPr marL="2057400" indent="-228600" algn="l" defTabSz="914400" rtl="0" eaLnBrk="1" latinLnBrk="1"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5pPr>
          <a:lvl6pPr marL="2514600" indent="-228600" algn="l" defTabSz="914400" rtl="0" eaLnBrk="1" latinLnBrk="1"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6pPr>
          <a:lvl7pPr marL="2971800" indent="-228600" algn="l" defTabSz="914400" rtl="0" eaLnBrk="1" latinLnBrk="1"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7pPr>
          <a:lvl8pPr marL="3429000" indent="-228600" algn="l" defTabSz="914400" rtl="0" eaLnBrk="1" latinLnBrk="1"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8pPr>
          <a:lvl9pPr marL="3886200" indent="-228600" algn="l" defTabSz="914400" rtl="0" eaLnBrk="1" latinLnBrk="1"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9pPr>
        </a:lstStyle>
        <a:p>
          <a:pPr hangingPunct="0"/>
          <a:r>
            <a:rPr kumimoji="1" lang="en-US" altLang="ko-KR" sz="1400" b="0" i="0" u="none" strike="noStrike" kern="1200" cap="none" spc="0" normalizeH="0" baseline="0" dirty="0">
              <a:ln>
                <a:noFill/>
              </a:ln>
              <a:solidFill>
                <a:schemeClr val="tx1"/>
              </a:solidFill>
              <a:effectLst/>
              <a:uLnTx/>
              <a:uFillTx/>
              <a:latin typeface="Samsung Sharp Sans Medium" pitchFamily="2" charset="0"/>
              <a:ea typeface="SamsungOneKorean 400" panose="020B0503030303020204" pitchFamily="50" charset="-127"/>
              <a:cs typeface="Samsung Sharp Sans Medium" pitchFamily="2" charset="0"/>
            </a:rPr>
            <a:t>The power supplies of VDD/VDIG/VDDT/VDDH may be powered down in any order.</a:t>
          </a:r>
          <a:endParaRPr kumimoji="1" lang="ko-KR" altLang="ko-KR" sz="1400" b="0" i="0" u="none" strike="noStrike" kern="1200" cap="none" spc="0" normalizeH="0" baseline="0" dirty="0">
            <a:ln>
              <a:noFill/>
            </a:ln>
            <a:solidFill>
              <a:schemeClr val="tx1"/>
            </a:solidFill>
            <a:effectLst/>
            <a:uLnTx/>
            <a:uFillTx/>
            <a:latin typeface="Samsung Sharp Sans Medium" pitchFamily="2" charset="0"/>
            <a:ea typeface="SamsungOneKorean 400" panose="020B0503030303020204" pitchFamily="50" charset="-127"/>
            <a:cs typeface="Samsung Sharp Sans Medium" pitchFamily="2" charset="0"/>
          </a:endParaRPr>
        </a:p>
      </xdr:txBody>
    </xdr:sp>
    <xdr:clientData/>
  </xdr:twoCellAnchor>
  <xdr:twoCellAnchor>
    <xdr:from>
      <xdr:col>0</xdr:col>
      <xdr:colOff>573404</xdr:colOff>
      <xdr:row>22</xdr:row>
      <xdr:rowOff>93345</xdr:rowOff>
    </xdr:from>
    <xdr:to>
      <xdr:col>8</xdr:col>
      <xdr:colOff>194309</xdr:colOff>
      <xdr:row>24</xdr:row>
      <xdr:rowOff>93345</xdr:rowOff>
    </xdr:to>
    <xdr:sp macro="" textlink="">
      <xdr:nvSpPr>
        <xdr:cNvPr id="9" name="TextBox 8">
          <a:extLst>
            <a:ext uri="{FF2B5EF4-FFF2-40B4-BE49-F238E27FC236}">
              <a16:creationId xmlns:a16="http://schemas.microsoft.com/office/drawing/2014/main" id="{BD690E9D-7F6A-4814-E579-0EFDE32F1C39}"/>
            </a:ext>
          </a:extLst>
        </xdr:cNvPr>
        <xdr:cNvSpPr txBox="1"/>
      </xdr:nvSpPr>
      <xdr:spPr>
        <a:xfrm>
          <a:off x="573404" y="4912995"/>
          <a:ext cx="5031105" cy="4381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hangingPunct="0"/>
          <a:r>
            <a:rPr lang="en-US" altLang="ko-KR" sz="1300" b="1">
              <a:solidFill>
                <a:schemeClr val="dk1"/>
              </a:solidFill>
              <a:effectLst/>
              <a:latin typeface="+mn-lt"/>
              <a:ea typeface="+mn-ea"/>
              <a:cs typeface="+mn-cs"/>
            </a:rPr>
            <a:t>Power up the VDD/VDIG/VDDT before VDDH. </a:t>
          </a:r>
          <a:endParaRPr lang="ko-KR" altLang="ko-KR" sz="1300" b="1">
            <a:solidFill>
              <a:schemeClr val="dk1"/>
            </a:solidFill>
            <a:effectLst/>
            <a:latin typeface="+mn-lt"/>
            <a:ea typeface="+mn-ea"/>
            <a:cs typeface="+mn-cs"/>
          </a:endParaRPr>
        </a:p>
      </xdr:txBody>
    </xdr: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11572-C03C-431F-B09A-97A47F24C1F2}">
  <sheetPr>
    <tabColor rgb="FFFF0000"/>
  </sheetPr>
  <dimension ref="B2:M65"/>
  <sheetViews>
    <sheetView showGridLines="0" tabSelected="1" zoomScale="130" zoomScaleNormal="130" workbookViewId="0">
      <selection activeCell="F12" sqref="F12"/>
    </sheetView>
  </sheetViews>
  <sheetFormatPr defaultColWidth="8.5" defaultRowHeight="17.399999999999999" x14ac:dyDescent="0.4"/>
  <cols>
    <col min="1" max="1" width="3.5" style="2" customWidth="1"/>
    <col min="2" max="2" width="19" style="2" customWidth="1"/>
    <col min="3" max="3" width="30.19921875" style="2" customWidth="1"/>
    <col min="4" max="4" width="46.3984375" style="2" customWidth="1"/>
    <col min="5" max="5" width="14.5" style="2" customWidth="1"/>
    <col min="6" max="6" width="35.09765625" style="2" customWidth="1"/>
    <col min="7" max="7" width="21.8984375" style="2" customWidth="1"/>
    <col min="8" max="8" width="13.5" style="2" customWidth="1"/>
    <col min="9" max="9" width="13.5" style="10" customWidth="1"/>
    <col min="10" max="10" width="22.3984375" style="2" customWidth="1"/>
    <col min="11" max="11" width="12.59765625" style="2" customWidth="1"/>
    <col min="12" max="12" width="18.19921875" style="2" customWidth="1"/>
    <col min="13" max="13" width="19.8984375" style="2" customWidth="1"/>
    <col min="14" max="16384" width="8.5" style="2"/>
  </cols>
  <sheetData>
    <row r="2" spans="2:13" ht="25.2" x14ac:dyDescent="0.4">
      <c r="B2" s="7" t="s">
        <v>173</v>
      </c>
      <c r="C2" s="7"/>
      <c r="D2" s="1"/>
      <c r="G2" s="13"/>
      <c r="H2" s="13"/>
    </row>
    <row r="3" spans="2:13" ht="15" customHeight="1" x14ac:dyDescent="0.4">
      <c r="B3" s="26" t="s">
        <v>0</v>
      </c>
      <c r="C3" s="5"/>
      <c r="D3" s="1"/>
      <c r="F3" s="3"/>
    </row>
    <row r="4" spans="2:13" s="6" customFormat="1" ht="20.399999999999999" customHeight="1" x14ac:dyDescent="0.4">
      <c r="B4" s="92" t="s">
        <v>1</v>
      </c>
      <c r="C4" s="92"/>
      <c r="D4" s="92"/>
      <c r="E4" s="54" t="s">
        <v>2</v>
      </c>
      <c r="F4" s="55"/>
      <c r="G4" s="56"/>
      <c r="H4" s="52" t="s">
        <v>3</v>
      </c>
      <c r="I4" s="53"/>
      <c r="J4" s="53"/>
      <c r="K4" s="53"/>
      <c r="L4" s="53"/>
      <c r="M4" s="53"/>
    </row>
    <row r="5" spans="2:13" s="4" customFormat="1" ht="17.25" customHeight="1" x14ac:dyDescent="0.4">
      <c r="B5" s="20" t="s">
        <v>4</v>
      </c>
      <c r="C5" s="46" t="s">
        <v>5</v>
      </c>
      <c r="D5" s="46"/>
      <c r="E5" s="60" t="s">
        <v>6</v>
      </c>
      <c r="F5" s="61"/>
      <c r="G5" s="61"/>
      <c r="H5" s="44" t="s">
        <v>7</v>
      </c>
      <c r="I5" s="46">
        <f>COUNTIF($H$18:$H$65, "PASS")</f>
        <v>0</v>
      </c>
      <c r="J5" s="46"/>
      <c r="K5" s="44" t="s">
        <v>7</v>
      </c>
      <c r="L5" s="46">
        <f>COUNTIF($K$18:$K$65, "PASS")</f>
        <v>14</v>
      </c>
      <c r="M5" s="46"/>
    </row>
    <row r="6" spans="2:13" s="4" customFormat="1" ht="15.6" x14ac:dyDescent="0.4">
      <c r="B6" s="20" t="s">
        <v>8</v>
      </c>
      <c r="C6" s="46" t="s">
        <v>176</v>
      </c>
      <c r="D6" s="46"/>
      <c r="E6" s="67" t="s">
        <v>9</v>
      </c>
      <c r="F6" s="68"/>
      <c r="G6" s="68"/>
      <c r="H6" s="44" t="s">
        <v>10</v>
      </c>
      <c r="I6" s="47">
        <f>COUNTIF($H$18:$H$65, "NG")</f>
        <v>0</v>
      </c>
      <c r="J6" s="47"/>
      <c r="K6" s="44" t="s">
        <v>10</v>
      </c>
      <c r="L6" s="47">
        <f>COUNTIF($K$18:$K$65, "NG")</f>
        <v>0</v>
      </c>
      <c r="M6" s="47"/>
    </row>
    <row r="7" spans="2:13" s="4" customFormat="1" ht="15.6" x14ac:dyDescent="0.4">
      <c r="B7" s="20" t="s">
        <v>11</v>
      </c>
      <c r="C7" s="46" t="s">
        <v>12</v>
      </c>
      <c r="D7" s="46"/>
      <c r="E7" s="69" t="s">
        <v>13</v>
      </c>
      <c r="F7" s="70"/>
      <c r="G7" s="70"/>
      <c r="H7" s="44" t="s">
        <v>14</v>
      </c>
      <c r="I7" s="47">
        <f>COUNTIF($H$18:$H$65, "N.A")</f>
        <v>0</v>
      </c>
      <c r="J7" s="47"/>
      <c r="K7" s="44" t="s">
        <v>14</v>
      </c>
      <c r="L7" s="47">
        <f>COUNTIF($K$18:$K$65, "N.A")</f>
        <v>2</v>
      </c>
      <c r="M7" s="47"/>
    </row>
    <row r="8" spans="2:13" s="4" customFormat="1" ht="15.6" x14ac:dyDescent="0.4">
      <c r="B8" s="20" t="s">
        <v>15</v>
      </c>
      <c r="C8" s="46"/>
      <c r="D8" s="46"/>
      <c r="E8" s="71" t="s">
        <v>16</v>
      </c>
      <c r="F8" s="72"/>
      <c r="G8" s="72"/>
      <c r="H8" s="44" t="s">
        <v>17</v>
      </c>
      <c r="I8" s="46">
        <f>COUNTIF($H$18:$H$65, "Not yet")</f>
        <v>48</v>
      </c>
      <c r="J8" s="46"/>
      <c r="K8" s="44" t="s">
        <v>17</v>
      </c>
      <c r="L8" s="46">
        <f>COUNTIF($K$18:$K$65, "Not yet")</f>
        <v>32</v>
      </c>
      <c r="M8" s="46"/>
    </row>
    <row r="9" spans="2:13" s="4" customFormat="1" ht="16.5" customHeight="1" x14ac:dyDescent="0.4">
      <c r="B9" s="20" t="s">
        <v>18</v>
      </c>
      <c r="C9" s="46"/>
      <c r="D9" s="46"/>
      <c r="E9" s="73" t="s">
        <v>19</v>
      </c>
      <c r="F9" s="74"/>
      <c r="G9" s="74"/>
      <c r="H9" s="48" t="s">
        <v>3</v>
      </c>
      <c r="I9" s="51">
        <f>I5/(I5+I6+I8)</f>
        <v>0</v>
      </c>
      <c r="J9" s="51"/>
      <c r="K9" s="48" t="s">
        <v>3</v>
      </c>
      <c r="L9" s="51">
        <f>L5/(L5+L6+L8)</f>
        <v>0.30434782608695654</v>
      </c>
      <c r="M9" s="51"/>
    </row>
    <row r="10" spans="2:13" s="4" customFormat="1" ht="16.5" customHeight="1" x14ac:dyDescent="0.4">
      <c r="B10" s="20" t="s">
        <v>20</v>
      </c>
      <c r="C10" s="46" t="s">
        <v>21</v>
      </c>
      <c r="D10" s="46"/>
      <c r="E10" s="27"/>
      <c r="F10" s="19"/>
      <c r="G10" s="19"/>
      <c r="H10" s="49"/>
      <c r="I10" s="51"/>
      <c r="J10" s="51"/>
      <c r="K10" s="49"/>
      <c r="L10" s="51"/>
      <c r="M10" s="51"/>
    </row>
    <row r="11" spans="2:13" s="4" customFormat="1" ht="16.5" customHeight="1" x14ac:dyDescent="0.4">
      <c r="B11" s="20" t="s">
        <v>22</v>
      </c>
      <c r="C11" s="46"/>
      <c r="D11" s="46"/>
      <c r="E11" s="19"/>
      <c r="F11" s="19"/>
      <c r="G11" s="19"/>
      <c r="H11" s="49"/>
      <c r="I11" s="51"/>
      <c r="J11" s="51"/>
      <c r="K11" s="49"/>
      <c r="L11" s="51"/>
      <c r="M11" s="51"/>
    </row>
    <row r="12" spans="2:13" s="4" customFormat="1" ht="16.5" customHeight="1" x14ac:dyDescent="0.4">
      <c r="B12" s="20" t="s">
        <v>23</v>
      </c>
      <c r="C12" s="46"/>
      <c r="D12" s="46"/>
      <c r="E12" s="19"/>
      <c r="F12" s="19"/>
      <c r="G12" s="19"/>
      <c r="H12" s="49"/>
      <c r="I12" s="51"/>
      <c r="J12" s="51"/>
      <c r="K12" s="49"/>
      <c r="L12" s="51"/>
      <c r="M12" s="51"/>
    </row>
    <row r="13" spans="2:13" s="4" customFormat="1" ht="17.25" customHeight="1" x14ac:dyDescent="0.4">
      <c r="B13" s="20" t="s">
        <v>24</v>
      </c>
      <c r="C13" s="76"/>
      <c r="D13" s="46"/>
      <c r="E13" s="19"/>
      <c r="F13" s="19"/>
      <c r="G13" s="19"/>
      <c r="H13" s="50"/>
      <c r="I13" s="51"/>
      <c r="J13" s="51"/>
      <c r="K13" s="50"/>
      <c r="L13" s="51"/>
      <c r="M13" s="51"/>
    </row>
    <row r="14" spans="2:13" s="4" customFormat="1" x14ac:dyDescent="0.4">
      <c r="B14" s="11"/>
      <c r="C14" s="11"/>
      <c r="D14" s="11"/>
      <c r="E14" s="12"/>
      <c r="F14" s="12"/>
      <c r="G14" s="24"/>
      <c r="H14" s="24"/>
      <c r="I14" s="91"/>
      <c r="J14" s="91"/>
      <c r="K14" s="2"/>
    </row>
    <row r="15" spans="2:13" s="4" customFormat="1" x14ac:dyDescent="0.4">
      <c r="B15" s="9" t="s">
        <v>25</v>
      </c>
      <c r="C15" s="9"/>
      <c r="D15" s="6"/>
      <c r="E15" s="9"/>
      <c r="F15" s="8"/>
      <c r="G15" s="25"/>
      <c r="H15" s="25"/>
      <c r="K15" s="2"/>
      <c r="L15" s="90" t="s">
        <v>26</v>
      </c>
      <c r="M15" s="90"/>
    </row>
    <row r="16" spans="2:13" x14ac:dyDescent="0.4">
      <c r="B16" s="77" t="s">
        <v>27</v>
      </c>
      <c r="C16" s="77" t="s">
        <v>28</v>
      </c>
      <c r="D16" s="77" t="s">
        <v>29</v>
      </c>
      <c r="E16" s="78" t="s">
        <v>30</v>
      </c>
      <c r="F16" s="79"/>
      <c r="G16" s="80"/>
      <c r="H16" s="84" t="s">
        <v>31</v>
      </c>
      <c r="I16" s="84"/>
      <c r="J16" s="84"/>
      <c r="K16" s="45" t="s">
        <v>32</v>
      </c>
      <c r="L16" s="45"/>
      <c r="M16" s="45"/>
    </row>
    <row r="17" spans="2:13" ht="31.2" x14ac:dyDescent="0.4">
      <c r="B17" s="77"/>
      <c r="C17" s="77"/>
      <c r="D17" s="77"/>
      <c r="E17" s="81"/>
      <c r="F17" s="82"/>
      <c r="G17" s="83"/>
      <c r="H17" s="14" t="s">
        <v>33</v>
      </c>
      <c r="I17" s="14" t="s">
        <v>34</v>
      </c>
      <c r="J17" s="14" t="s">
        <v>35</v>
      </c>
      <c r="K17" s="14" t="s">
        <v>33</v>
      </c>
      <c r="L17" s="14" t="s">
        <v>34</v>
      </c>
      <c r="M17" s="14" t="s">
        <v>35</v>
      </c>
    </row>
    <row r="18" spans="2:13" ht="54" customHeight="1" x14ac:dyDescent="0.4">
      <c r="B18" s="35" t="s">
        <v>36</v>
      </c>
      <c r="C18" s="29" t="s">
        <v>37</v>
      </c>
      <c r="D18" s="30" t="s">
        <v>38</v>
      </c>
      <c r="E18" s="57" t="s">
        <v>39</v>
      </c>
      <c r="F18" s="58"/>
      <c r="G18" s="59"/>
      <c r="H18" s="28" t="s">
        <v>40</v>
      </c>
      <c r="I18" s="22"/>
      <c r="J18" s="23"/>
      <c r="K18" s="28" t="s">
        <v>40</v>
      </c>
      <c r="L18" s="22"/>
      <c r="M18" s="23"/>
    </row>
    <row r="19" spans="2:13" ht="54" customHeight="1" x14ac:dyDescent="0.4">
      <c r="B19" s="35" t="s">
        <v>36</v>
      </c>
      <c r="C19" s="29" t="s">
        <v>41</v>
      </c>
      <c r="D19" s="30" t="s">
        <v>42</v>
      </c>
      <c r="E19" s="57" t="s">
        <v>43</v>
      </c>
      <c r="F19" s="58"/>
      <c r="G19" s="59"/>
      <c r="H19" s="28" t="s">
        <v>40</v>
      </c>
      <c r="I19" s="22"/>
      <c r="J19" s="23"/>
      <c r="K19" s="28" t="s">
        <v>40</v>
      </c>
      <c r="L19" s="22"/>
      <c r="M19" s="23"/>
    </row>
    <row r="20" spans="2:13" ht="54" customHeight="1" x14ac:dyDescent="0.4">
      <c r="B20" s="35" t="s">
        <v>36</v>
      </c>
      <c r="C20" s="29" t="s">
        <v>44</v>
      </c>
      <c r="D20" s="30" t="s">
        <v>45</v>
      </c>
      <c r="E20" s="57" t="s">
        <v>46</v>
      </c>
      <c r="F20" s="58"/>
      <c r="G20" s="59"/>
      <c r="H20" s="28" t="s">
        <v>40</v>
      </c>
      <c r="I20" s="22"/>
      <c r="J20" s="23"/>
      <c r="K20" s="28" t="s">
        <v>47</v>
      </c>
      <c r="L20" s="22" t="s">
        <v>48</v>
      </c>
      <c r="M20" s="23"/>
    </row>
    <row r="21" spans="2:13" ht="54" customHeight="1" x14ac:dyDescent="0.4">
      <c r="B21" s="35" t="s">
        <v>36</v>
      </c>
      <c r="C21" s="29" t="s">
        <v>49</v>
      </c>
      <c r="D21" s="30" t="s">
        <v>50</v>
      </c>
      <c r="E21" s="57" t="s">
        <v>51</v>
      </c>
      <c r="F21" s="58"/>
      <c r="G21" s="59"/>
      <c r="H21" s="28" t="s">
        <v>40</v>
      </c>
      <c r="I21" s="22"/>
      <c r="J21" s="23"/>
      <c r="K21" s="28" t="s">
        <v>40</v>
      </c>
      <c r="L21" s="22"/>
      <c r="M21" s="23" t="s">
        <v>52</v>
      </c>
    </row>
    <row r="22" spans="2:13" ht="54" customHeight="1" x14ac:dyDescent="0.4">
      <c r="B22" s="35" t="s">
        <v>36</v>
      </c>
      <c r="C22" s="29" t="s">
        <v>53</v>
      </c>
      <c r="D22" s="30" t="s">
        <v>54</v>
      </c>
      <c r="E22" s="57" t="s">
        <v>55</v>
      </c>
      <c r="F22" s="58"/>
      <c r="G22" s="59"/>
      <c r="H22" s="28" t="s">
        <v>40</v>
      </c>
      <c r="I22" s="22"/>
      <c r="J22" s="23"/>
      <c r="K22" s="28" t="s">
        <v>47</v>
      </c>
      <c r="L22" s="22" t="s">
        <v>48</v>
      </c>
      <c r="M22" s="23"/>
    </row>
    <row r="23" spans="2:13" ht="54" customHeight="1" x14ac:dyDescent="0.4">
      <c r="B23" s="35" t="s">
        <v>36</v>
      </c>
      <c r="C23" s="29" t="s">
        <v>53</v>
      </c>
      <c r="D23" s="30" t="s">
        <v>56</v>
      </c>
      <c r="E23" s="57" t="s">
        <v>57</v>
      </c>
      <c r="F23" s="58"/>
      <c r="G23" s="59"/>
      <c r="H23" s="28" t="s">
        <v>40</v>
      </c>
      <c r="I23" s="22"/>
      <c r="J23" s="23"/>
      <c r="K23" s="28" t="s">
        <v>40</v>
      </c>
      <c r="L23" s="22"/>
      <c r="M23" s="23"/>
    </row>
    <row r="24" spans="2:13" ht="54" customHeight="1" x14ac:dyDescent="0.4">
      <c r="B24" s="35" t="s">
        <v>36</v>
      </c>
      <c r="C24" s="29" t="s">
        <v>53</v>
      </c>
      <c r="D24" s="30" t="s">
        <v>58</v>
      </c>
      <c r="E24" s="57" t="s">
        <v>59</v>
      </c>
      <c r="F24" s="58"/>
      <c r="G24" s="59"/>
      <c r="H24" s="28" t="s">
        <v>40</v>
      </c>
      <c r="I24" s="22"/>
      <c r="J24" s="23"/>
      <c r="K24" s="28" t="s">
        <v>47</v>
      </c>
      <c r="L24" s="22" t="s">
        <v>48</v>
      </c>
      <c r="M24" s="23"/>
    </row>
    <row r="25" spans="2:13" ht="54" customHeight="1" x14ac:dyDescent="0.4">
      <c r="B25" s="35" t="s">
        <v>36</v>
      </c>
      <c r="C25" s="29" t="s">
        <v>53</v>
      </c>
      <c r="D25" s="30" t="s">
        <v>60</v>
      </c>
      <c r="E25" s="57" t="s">
        <v>61</v>
      </c>
      <c r="F25" s="58"/>
      <c r="G25" s="59"/>
      <c r="H25" s="28" t="s">
        <v>40</v>
      </c>
      <c r="I25" s="22"/>
      <c r="J25" s="23"/>
      <c r="K25" s="28" t="s">
        <v>47</v>
      </c>
      <c r="L25" s="22" t="s">
        <v>48</v>
      </c>
      <c r="M25" s="23"/>
    </row>
    <row r="26" spans="2:13" ht="54" customHeight="1" x14ac:dyDescent="0.4">
      <c r="B26" s="35" t="s">
        <v>36</v>
      </c>
      <c r="C26" s="29" t="s">
        <v>53</v>
      </c>
      <c r="D26" s="30" t="s">
        <v>62</v>
      </c>
      <c r="E26" s="57" t="s">
        <v>63</v>
      </c>
      <c r="F26" s="58"/>
      <c r="G26" s="59"/>
      <c r="H26" s="28" t="s">
        <v>40</v>
      </c>
      <c r="I26" s="22"/>
      <c r="J26" s="23"/>
      <c r="K26" s="28" t="s">
        <v>40</v>
      </c>
      <c r="L26" s="22"/>
      <c r="M26" s="23"/>
    </row>
    <row r="27" spans="2:13" ht="54" customHeight="1" x14ac:dyDescent="0.4">
      <c r="B27" s="35" t="s">
        <v>36</v>
      </c>
      <c r="C27" s="29" t="s">
        <v>53</v>
      </c>
      <c r="D27" s="30" t="s">
        <v>64</v>
      </c>
      <c r="E27" s="57" t="s">
        <v>65</v>
      </c>
      <c r="F27" s="58"/>
      <c r="G27" s="59"/>
      <c r="H27" s="28" t="s">
        <v>40</v>
      </c>
      <c r="I27" s="22"/>
      <c r="J27" s="23"/>
      <c r="K27" s="28" t="s">
        <v>40</v>
      </c>
      <c r="L27" s="22"/>
      <c r="M27" s="23" t="s">
        <v>66</v>
      </c>
    </row>
    <row r="28" spans="2:13" ht="54" customHeight="1" x14ac:dyDescent="0.4">
      <c r="B28" s="35" t="s">
        <v>36</v>
      </c>
      <c r="C28" s="29" t="s">
        <v>53</v>
      </c>
      <c r="D28" s="30" t="s">
        <v>67</v>
      </c>
      <c r="E28" s="57" t="s">
        <v>68</v>
      </c>
      <c r="F28" s="58"/>
      <c r="G28" s="59"/>
      <c r="H28" s="28" t="s">
        <v>40</v>
      </c>
      <c r="I28" s="22"/>
      <c r="J28" s="23"/>
      <c r="K28" s="28" t="s">
        <v>40</v>
      </c>
      <c r="L28" s="22"/>
      <c r="M28" s="23"/>
    </row>
    <row r="29" spans="2:13" ht="54" customHeight="1" x14ac:dyDescent="0.4">
      <c r="B29" s="35" t="s">
        <v>36</v>
      </c>
      <c r="C29" s="29" t="s">
        <v>53</v>
      </c>
      <c r="D29" s="30" t="s">
        <v>69</v>
      </c>
      <c r="E29" s="57" t="s">
        <v>70</v>
      </c>
      <c r="F29" s="58"/>
      <c r="G29" s="59"/>
      <c r="H29" s="28" t="s">
        <v>40</v>
      </c>
      <c r="I29" s="22"/>
      <c r="J29" s="23"/>
      <c r="K29" s="28" t="s">
        <v>40</v>
      </c>
      <c r="L29" s="22"/>
      <c r="M29" s="23"/>
    </row>
    <row r="30" spans="2:13" ht="54" customHeight="1" x14ac:dyDescent="0.4">
      <c r="B30" s="35" t="s">
        <v>71</v>
      </c>
      <c r="C30" s="29" t="s">
        <v>72</v>
      </c>
      <c r="D30" s="30" t="s">
        <v>73</v>
      </c>
      <c r="E30" s="57" t="s">
        <v>74</v>
      </c>
      <c r="F30" s="58"/>
      <c r="G30" s="59"/>
      <c r="H30" s="28" t="s">
        <v>40</v>
      </c>
      <c r="I30" s="22"/>
      <c r="J30" s="23"/>
      <c r="K30" s="28" t="s">
        <v>40</v>
      </c>
      <c r="L30" s="22"/>
      <c r="M30" s="23"/>
    </row>
    <row r="31" spans="2:13" ht="40.5" customHeight="1" x14ac:dyDescent="0.4">
      <c r="B31" s="35" t="s">
        <v>75</v>
      </c>
      <c r="C31" s="29" t="s">
        <v>76</v>
      </c>
      <c r="D31" s="30" t="s">
        <v>77</v>
      </c>
      <c r="E31" s="57" t="s">
        <v>78</v>
      </c>
      <c r="F31" s="58"/>
      <c r="G31" s="59"/>
      <c r="H31" s="28" t="s">
        <v>40</v>
      </c>
      <c r="I31" s="22"/>
      <c r="J31" s="23"/>
      <c r="K31" s="28" t="s">
        <v>40</v>
      </c>
      <c r="L31" s="22"/>
      <c r="M31" s="23"/>
    </row>
    <row r="32" spans="2:13" ht="48" customHeight="1" x14ac:dyDescent="0.4">
      <c r="B32" s="62" t="s">
        <v>79</v>
      </c>
      <c r="C32" s="32" t="s">
        <v>80</v>
      </c>
      <c r="D32" s="16" t="s">
        <v>81</v>
      </c>
      <c r="E32" s="66" t="s">
        <v>82</v>
      </c>
      <c r="F32" s="85"/>
      <c r="G32" s="86"/>
      <c r="H32" s="28" t="s">
        <v>40</v>
      </c>
      <c r="I32" s="22"/>
      <c r="J32" s="15"/>
      <c r="K32" s="28" t="s">
        <v>47</v>
      </c>
      <c r="L32" s="22" t="s">
        <v>48</v>
      </c>
      <c r="M32" s="21" t="s">
        <v>83</v>
      </c>
    </row>
    <row r="33" spans="2:13" ht="75" customHeight="1" x14ac:dyDescent="0.4">
      <c r="B33" s="62"/>
      <c r="C33" s="32" t="s">
        <v>84</v>
      </c>
      <c r="D33" s="16" t="s">
        <v>85</v>
      </c>
      <c r="E33" s="87" t="s">
        <v>86</v>
      </c>
      <c r="F33" s="88"/>
      <c r="G33" s="89"/>
      <c r="H33" s="28" t="s">
        <v>40</v>
      </c>
      <c r="I33" s="22"/>
      <c r="J33" s="23"/>
      <c r="K33" s="28" t="s">
        <v>47</v>
      </c>
      <c r="L33" s="22" t="s">
        <v>48</v>
      </c>
      <c r="M33" s="23"/>
    </row>
    <row r="34" spans="2:13" ht="40.5" customHeight="1" x14ac:dyDescent="0.4">
      <c r="B34" s="62"/>
      <c r="C34" s="32" t="s">
        <v>87</v>
      </c>
      <c r="D34" s="33" t="s">
        <v>88</v>
      </c>
      <c r="E34" s="57" t="s">
        <v>174</v>
      </c>
      <c r="F34" s="58"/>
      <c r="G34" s="59"/>
      <c r="H34" s="28" t="s">
        <v>40</v>
      </c>
      <c r="I34" s="21"/>
      <c r="J34" s="21"/>
      <c r="K34" s="28" t="s">
        <v>47</v>
      </c>
      <c r="L34" s="22" t="s">
        <v>48</v>
      </c>
      <c r="M34" s="21"/>
    </row>
    <row r="35" spans="2:13" ht="40.5" customHeight="1" x14ac:dyDescent="0.4">
      <c r="B35" s="62"/>
      <c r="C35" s="32" t="s">
        <v>89</v>
      </c>
      <c r="D35" s="33" t="s">
        <v>90</v>
      </c>
      <c r="E35" s="87" t="s">
        <v>91</v>
      </c>
      <c r="F35" s="88"/>
      <c r="G35" s="89"/>
      <c r="H35" s="28" t="s">
        <v>40</v>
      </c>
      <c r="I35" s="15"/>
      <c r="J35" s="15"/>
      <c r="K35" s="28" t="s">
        <v>40</v>
      </c>
      <c r="L35" s="15"/>
      <c r="M35" s="15"/>
    </row>
    <row r="36" spans="2:13" ht="40.5" customHeight="1" x14ac:dyDescent="0.4">
      <c r="B36" s="62"/>
      <c r="C36" s="32" t="s">
        <v>53</v>
      </c>
      <c r="D36" s="33" t="s">
        <v>92</v>
      </c>
      <c r="E36" s="57" t="s">
        <v>93</v>
      </c>
      <c r="F36" s="58"/>
      <c r="G36" s="59"/>
      <c r="H36" s="28" t="s">
        <v>40</v>
      </c>
      <c r="I36" s="21"/>
      <c r="J36" s="21"/>
      <c r="K36" s="28" t="s">
        <v>47</v>
      </c>
      <c r="L36" s="22" t="s">
        <v>48</v>
      </c>
      <c r="M36" s="21"/>
    </row>
    <row r="37" spans="2:13" ht="66.75" customHeight="1" x14ac:dyDescent="0.4">
      <c r="B37" s="62"/>
      <c r="C37" s="32" t="s">
        <v>53</v>
      </c>
      <c r="D37" s="16" t="s">
        <v>94</v>
      </c>
      <c r="E37" s="57" t="s">
        <v>82</v>
      </c>
      <c r="F37" s="58"/>
      <c r="G37" s="59"/>
      <c r="H37" s="28" t="s">
        <v>40</v>
      </c>
      <c r="I37" s="21"/>
      <c r="J37" s="21"/>
      <c r="K37" s="28" t="s">
        <v>47</v>
      </c>
      <c r="L37" s="22" t="s">
        <v>48</v>
      </c>
      <c r="M37" s="21"/>
    </row>
    <row r="38" spans="2:13" ht="40.5" customHeight="1" x14ac:dyDescent="0.4">
      <c r="B38" s="62"/>
      <c r="C38" s="32" t="s">
        <v>53</v>
      </c>
      <c r="D38" s="16" t="s">
        <v>95</v>
      </c>
      <c r="E38" s="57" t="s">
        <v>96</v>
      </c>
      <c r="F38" s="58"/>
      <c r="G38" s="59"/>
      <c r="H38" s="28" t="s">
        <v>40</v>
      </c>
      <c r="I38" s="21"/>
      <c r="J38" s="21"/>
      <c r="K38" s="28" t="s">
        <v>47</v>
      </c>
      <c r="L38" s="22" t="s">
        <v>48</v>
      </c>
      <c r="M38" s="21"/>
    </row>
    <row r="39" spans="2:13" ht="40.5" customHeight="1" x14ac:dyDescent="0.4">
      <c r="B39" s="62"/>
      <c r="C39" s="32" t="s">
        <v>53</v>
      </c>
      <c r="D39" s="33" t="s">
        <v>97</v>
      </c>
      <c r="E39" s="57" t="s">
        <v>98</v>
      </c>
      <c r="F39" s="58"/>
      <c r="G39" s="59"/>
      <c r="H39" s="28" t="s">
        <v>40</v>
      </c>
      <c r="I39" s="15"/>
      <c r="J39" s="15"/>
      <c r="K39" s="28" t="s">
        <v>40</v>
      </c>
      <c r="L39" s="15"/>
      <c r="M39" s="15"/>
    </row>
    <row r="40" spans="2:13" ht="40.5" customHeight="1" x14ac:dyDescent="0.4">
      <c r="B40" s="62"/>
      <c r="C40" s="32" t="s">
        <v>99</v>
      </c>
      <c r="D40" s="16" t="s">
        <v>100</v>
      </c>
      <c r="E40" s="57" t="s">
        <v>101</v>
      </c>
      <c r="F40" s="58"/>
      <c r="G40" s="59"/>
      <c r="H40" s="28" t="s">
        <v>40</v>
      </c>
      <c r="I40" s="21"/>
      <c r="J40" s="21"/>
      <c r="K40" s="28" t="s">
        <v>47</v>
      </c>
      <c r="L40" s="22" t="s">
        <v>48</v>
      </c>
      <c r="M40" s="21"/>
    </row>
    <row r="41" spans="2:13" ht="40.5" customHeight="1" x14ac:dyDescent="0.4">
      <c r="B41" s="62"/>
      <c r="C41" s="34" t="s">
        <v>102</v>
      </c>
      <c r="D41" s="16" t="s">
        <v>103</v>
      </c>
      <c r="E41" s="57" t="s">
        <v>104</v>
      </c>
      <c r="F41" s="58"/>
      <c r="G41" s="59"/>
      <c r="H41" s="28" t="s">
        <v>40</v>
      </c>
      <c r="I41" s="22"/>
      <c r="J41" s="21"/>
      <c r="K41" s="28" t="s">
        <v>40</v>
      </c>
      <c r="L41" s="22"/>
      <c r="M41" s="21"/>
    </row>
    <row r="42" spans="2:13" ht="40.5" customHeight="1" x14ac:dyDescent="0.4">
      <c r="B42" s="62"/>
      <c r="C42" s="32" t="s">
        <v>53</v>
      </c>
      <c r="D42" s="33" t="s">
        <v>105</v>
      </c>
      <c r="E42" s="57" t="s">
        <v>106</v>
      </c>
      <c r="F42" s="58"/>
      <c r="G42" s="59"/>
      <c r="H42" s="28" t="s">
        <v>40</v>
      </c>
      <c r="I42" s="21"/>
      <c r="J42" s="15"/>
      <c r="K42" s="28" t="s">
        <v>107</v>
      </c>
      <c r="L42" s="22"/>
      <c r="M42" s="15"/>
    </row>
    <row r="43" spans="2:13" ht="40.5" customHeight="1" x14ac:dyDescent="0.4">
      <c r="B43" s="62"/>
      <c r="C43" s="32" t="s">
        <v>53</v>
      </c>
      <c r="D43" s="16" t="s">
        <v>105</v>
      </c>
      <c r="E43" s="57" t="s">
        <v>108</v>
      </c>
      <c r="F43" s="58"/>
      <c r="G43" s="59"/>
      <c r="H43" s="28" t="s">
        <v>40</v>
      </c>
      <c r="I43" s="21"/>
      <c r="J43" s="15"/>
      <c r="K43" s="28" t="s">
        <v>107</v>
      </c>
      <c r="L43" s="22"/>
      <c r="M43" s="15"/>
    </row>
    <row r="44" spans="2:13" ht="73.5" customHeight="1" x14ac:dyDescent="0.4">
      <c r="B44" s="62"/>
      <c r="C44" s="34" t="s">
        <v>109</v>
      </c>
      <c r="D44" s="16" t="s">
        <v>110</v>
      </c>
      <c r="E44" s="57" t="s">
        <v>111</v>
      </c>
      <c r="F44" s="58"/>
      <c r="G44" s="59"/>
      <c r="H44" s="28" t="s">
        <v>40</v>
      </c>
      <c r="I44" s="21"/>
      <c r="J44" s="23"/>
      <c r="K44" s="28" t="s">
        <v>47</v>
      </c>
      <c r="L44" s="22" t="s">
        <v>48</v>
      </c>
      <c r="M44" s="23"/>
    </row>
    <row r="45" spans="2:13" ht="112.5" customHeight="1" x14ac:dyDescent="0.4">
      <c r="B45" s="62"/>
      <c r="C45" s="32" t="s">
        <v>112</v>
      </c>
      <c r="D45" s="16" t="s">
        <v>113</v>
      </c>
      <c r="E45" s="63" t="s">
        <v>114</v>
      </c>
      <c r="F45" s="64"/>
      <c r="G45" s="65"/>
      <c r="H45" s="28" t="s">
        <v>40</v>
      </c>
      <c r="I45" s="21"/>
      <c r="J45" s="17"/>
      <c r="K45" s="28" t="s">
        <v>47</v>
      </c>
      <c r="L45" s="22" t="s">
        <v>48</v>
      </c>
      <c r="M45" s="17"/>
    </row>
    <row r="46" spans="2:13" ht="73.5" customHeight="1" x14ac:dyDescent="0.4">
      <c r="B46" s="62"/>
      <c r="C46" s="32" t="s">
        <v>115</v>
      </c>
      <c r="D46" s="16" t="s">
        <v>116</v>
      </c>
      <c r="E46" s="63" t="s">
        <v>117</v>
      </c>
      <c r="F46" s="64"/>
      <c r="G46" s="65"/>
      <c r="H46" s="28" t="s">
        <v>40</v>
      </c>
      <c r="I46" s="21"/>
      <c r="J46" s="17"/>
      <c r="K46" s="28" t="s">
        <v>47</v>
      </c>
      <c r="L46" s="22" t="s">
        <v>48</v>
      </c>
      <c r="M46" s="17"/>
    </row>
    <row r="47" spans="2:13" ht="129" customHeight="1" x14ac:dyDescent="0.4">
      <c r="B47" s="75" t="s">
        <v>118</v>
      </c>
      <c r="C47" s="36" t="s">
        <v>119</v>
      </c>
      <c r="D47" s="16" t="s">
        <v>120</v>
      </c>
      <c r="E47" s="57" t="s">
        <v>121</v>
      </c>
      <c r="F47" s="58"/>
      <c r="G47" s="59"/>
      <c r="H47" s="28" t="s">
        <v>40</v>
      </c>
      <c r="I47" s="21"/>
      <c r="J47" s="21"/>
      <c r="K47" s="28" t="s">
        <v>40</v>
      </c>
      <c r="L47" s="21"/>
      <c r="M47" s="21"/>
    </row>
    <row r="48" spans="2:13" ht="129" customHeight="1" x14ac:dyDescent="0.4">
      <c r="B48" s="75"/>
      <c r="C48" s="37" t="s">
        <v>122</v>
      </c>
      <c r="D48" s="16" t="s">
        <v>123</v>
      </c>
      <c r="E48" s="57" t="s">
        <v>124</v>
      </c>
      <c r="F48" s="58"/>
      <c r="G48" s="59"/>
      <c r="H48" s="28" t="s">
        <v>40</v>
      </c>
      <c r="I48" s="21"/>
      <c r="J48" s="21"/>
      <c r="K48" s="28" t="s">
        <v>40</v>
      </c>
      <c r="L48" s="21"/>
      <c r="M48" s="21"/>
    </row>
    <row r="49" spans="2:13" ht="129" customHeight="1" x14ac:dyDescent="0.4">
      <c r="B49" s="75"/>
      <c r="C49" s="37" t="s">
        <v>167</v>
      </c>
      <c r="D49" s="16" t="s">
        <v>169</v>
      </c>
      <c r="E49" s="57" t="s">
        <v>168</v>
      </c>
      <c r="F49" s="58"/>
      <c r="G49" s="59"/>
      <c r="H49" s="28" t="s">
        <v>40</v>
      </c>
      <c r="I49" s="21"/>
      <c r="J49" s="21"/>
      <c r="K49" s="28" t="s">
        <v>40</v>
      </c>
      <c r="L49" s="21"/>
      <c r="M49" s="21"/>
    </row>
    <row r="50" spans="2:13" ht="129" customHeight="1" x14ac:dyDescent="0.4">
      <c r="B50" s="75"/>
      <c r="C50" s="37" t="s">
        <v>125</v>
      </c>
      <c r="D50" s="16" t="s">
        <v>175</v>
      </c>
      <c r="E50" s="57" t="s">
        <v>126</v>
      </c>
      <c r="F50" s="58"/>
      <c r="G50" s="59"/>
      <c r="H50" s="28" t="s">
        <v>40</v>
      </c>
      <c r="I50" s="21"/>
      <c r="J50" s="15"/>
      <c r="K50" s="28" t="s">
        <v>40</v>
      </c>
      <c r="L50" s="21"/>
      <c r="M50" s="15"/>
    </row>
    <row r="51" spans="2:13" ht="208.8" customHeight="1" x14ac:dyDescent="0.4">
      <c r="B51" s="62" t="s">
        <v>127</v>
      </c>
      <c r="C51" s="38" t="s">
        <v>128</v>
      </c>
      <c r="D51" s="30" t="s">
        <v>129</v>
      </c>
      <c r="E51" s="57" t="s">
        <v>155</v>
      </c>
      <c r="F51" s="58"/>
      <c r="G51" s="59"/>
      <c r="H51" s="28" t="s">
        <v>40</v>
      </c>
      <c r="I51" s="21"/>
      <c r="J51" s="39"/>
      <c r="K51" s="28" t="s">
        <v>40</v>
      </c>
      <c r="L51" s="21"/>
      <c r="M51" s="39"/>
    </row>
    <row r="52" spans="2:13" ht="40.5" customHeight="1" x14ac:dyDescent="0.4">
      <c r="B52" s="62"/>
      <c r="C52" s="40" t="s">
        <v>130</v>
      </c>
      <c r="D52" s="33" t="s">
        <v>131</v>
      </c>
      <c r="E52" s="57" t="s">
        <v>132</v>
      </c>
      <c r="F52" s="58"/>
      <c r="G52" s="59"/>
      <c r="H52" s="28" t="s">
        <v>40</v>
      </c>
      <c r="I52" s="15"/>
      <c r="J52" s="15"/>
      <c r="K52" s="28" t="s">
        <v>40</v>
      </c>
      <c r="L52" s="15"/>
      <c r="M52" s="15"/>
    </row>
    <row r="53" spans="2:13" ht="40.5" customHeight="1" x14ac:dyDescent="0.4">
      <c r="B53" s="62"/>
      <c r="C53" s="40" t="s">
        <v>130</v>
      </c>
      <c r="D53" s="33" t="s">
        <v>133</v>
      </c>
      <c r="E53" s="57" t="s">
        <v>134</v>
      </c>
      <c r="F53" s="58"/>
      <c r="G53" s="59"/>
      <c r="H53" s="28" t="s">
        <v>40</v>
      </c>
      <c r="I53" s="21"/>
      <c r="J53" s="41"/>
      <c r="K53" s="28" t="s">
        <v>40</v>
      </c>
      <c r="L53" s="21"/>
      <c r="M53" s="41"/>
    </row>
    <row r="54" spans="2:13" ht="40.5" customHeight="1" x14ac:dyDescent="0.4">
      <c r="B54" s="62"/>
      <c r="C54" s="40" t="s">
        <v>130</v>
      </c>
      <c r="D54" s="16" t="s">
        <v>135</v>
      </c>
      <c r="E54" s="57" t="s">
        <v>136</v>
      </c>
      <c r="F54" s="58"/>
      <c r="G54" s="59"/>
      <c r="H54" s="28" t="s">
        <v>40</v>
      </c>
      <c r="I54" s="21"/>
      <c r="J54" s="39"/>
      <c r="K54" s="28" t="s">
        <v>40</v>
      </c>
      <c r="L54" s="21"/>
      <c r="M54" s="39"/>
    </row>
    <row r="55" spans="2:13" ht="189" customHeight="1" x14ac:dyDescent="0.4">
      <c r="B55" s="62"/>
      <c r="C55" s="40" t="s">
        <v>157</v>
      </c>
      <c r="D55" s="16" t="s">
        <v>165</v>
      </c>
      <c r="E55" s="57" t="s">
        <v>158</v>
      </c>
      <c r="F55" s="58"/>
      <c r="G55" s="59"/>
      <c r="H55" s="28" t="s">
        <v>40</v>
      </c>
      <c r="I55" s="21"/>
      <c r="J55" s="39"/>
      <c r="K55" s="28" t="s">
        <v>40</v>
      </c>
      <c r="L55" s="21"/>
      <c r="M55" s="39"/>
    </row>
    <row r="56" spans="2:13" ht="66.599999999999994" customHeight="1" x14ac:dyDescent="0.4">
      <c r="B56" s="62"/>
      <c r="C56" s="93" t="s">
        <v>160</v>
      </c>
      <c r="D56" s="16" t="s">
        <v>166</v>
      </c>
      <c r="E56" s="57" t="s">
        <v>159</v>
      </c>
      <c r="F56" s="58"/>
      <c r="G56" s="59"/>
      <c r="H56" s="28" t="s">
        <v>40</v>
      </c>
      <c r="I56" s="21"/>
      <c r="J56" s="39"/>
      <c r="K56" s="28" t="s">
        <v>40</v>
      </c>
      <c r="L56" s="21"/>
      <c r="M56" s="39"/>
    </row>
    <row r="57" spans="2:13" ht="66.599999999999994" customHeight="1" x14ac:dyDescent="0.4">
      <c r="B57" s="62"/>
      <c r="C57" s="93" t="s">
        <v>163</v>
      </c>
      <c r="D57" s="16" t="s">
        <v>166</v>
      </c>
      <c r="E57" s="57" t="s">
        <v>161</v>
      </c>
      <c r="F57" s="58"/>
      <c r="G57" s="59"/>
      <c r="H57" s="28" t="s">
        <v>40</v>
      </c>
      <c r="I57" s="21"/>
      <c r="J57" s="39"/>
      <c r="K57" s="28" t="s">
        <v>40</v>
      </c>
      <c r="L57" s="21"/>
      <c r="M57" s="39"/>
    </row>
    <row r="58" spans="2:13" ht="66.599999999999994" customHeight="1" x14ac:dyDescent="0.4">
      <c r="B58" s="62"/>
      <c r="C58" s="93" t="s">
        <v>164</v>
      </c>
      <c r="D58" s="16" t="s">
        <v>166</v>
      </c>
      <c r="E58" s="57" t="s">
        <v>162</v>
      </c>
      <c r="F58" s="58"/>
      <c r="G58" s="59"/>
      <c r="H58" s="28" t="s">
        <v>40</v>
      </c>
      <c r="I58" s="21"/>
      <c r="J58" s="39"/>
      <c r="K58" s="28" t="s">
        <v>40</v>
      </c>
      <c r="L58" s="21"/>
      <c r="M58" s="39"/>
    </row>
    <row r="59" spans="2:13" ht="127.5" customHeight="1" x14ac:dyDescent="0.4">
      <c r="B59" s="62"/>
      <c r="C59" s="38" t="s">
        <v>137</v>
      </c>
      <c r="D59" s="30" t="s">
        <v>138</v>
      </c>
      <c r="E59" s="66" t="s">
        <v>139</v>
      </c>
      <c r="F59" s="58"/>
      <c r="G59" s="59"/>
      <c r="H59" s="28" t="s">
        <v>40</v>
      </c>
      <c r="I59" s="21"/>
      <c r="J59" s="42"/>
      <c r="K59" s="28" t="s">
        <v>40</v>
      </c>
      <c r="L59" s="21"/>
      <c r="M59" s="42"/>
    </row>
    <row r="60" spans="2:13" ht="40.5" customHeight="1" x14ac:dyDescent="0.4">
      <c r="B60" s="62"/>
      <c r="C60" s="38" t="s">
        <v>137</v>
      </c>
      <c r="D60" s="30" t="s">
        <v>140</v>
      </c>
      <c r="E60" s="57" t="s">
        <v>141</v>
      </c>
      <c r="F60" s="58"/>
      <c r="G60" s="59"/>
      <c r="H60" s="28" t="s">
        <v>40</v>
      </c>
      <c r="I60" s="21"/>
      <c r="J60" s="42"/>
      <c r="K60" s="28" t="s">
        <v>40</v>
      </c>
      <c r="L60" s="21"/>
      <c r="M60" s="42"/>
    </row>
    <row r="61" spans="2:13" ht="84" customHeight="1" x14ac:dyDescent="0.4">
      <c r="B61" s="31" t="s">
        <v>142</v>
      </c>
      <c r="C61" s="43" t="s">
        <v>143</v>
      </c>
      <c r="D61" s="16" t="s">
        <v>144</v>
      </c>
      <c r="E61" s="63" t="s">
        <v>145</v>
      </c>
      <c r="F61" s="64"/>
      <c r="G61" s="65"/>
      <c r="H61" s="28" t="s">
        <v>40</v>
      </c>
      <c r="I61" s="21"/>
      <c r="J61" s="18"/>
      <c r="K61" s="28" t="s">
        <v>40</v>
      </c>
      <c r="L61" s="21"/>
      <c r="M61" s="18"/>
    </row>
    <row r="62" spans="2:13" ht="40.5" customHeight="1" x14ac:dyDescent="0.4">
      <c r="B62" s="62" t="s">
        <v>146</v>
      </c>
      <c r="C62" s="29" t="s">
        <v>147</v>
      </c>
      <c r="D62" s="16" t="s">
        <v>148</v>
      </c>
      <c r="E62" s="63" t="s">
        <v>149</v>
      </c>
      <c r="F62" s="64"/>
      <c r="G62" s="65"/>
      <c r="H62" s="28" t="s">
        <v>40</v>
      </c>
      <c r="I62" s="17"/>
      <c r="J62" s="18"/>
      <c r="K62" s="28" t="s">
        <v>40</v>
      </c>
      <c r="L62" s="17"/>
      <c r="M62" s="18"/>
    </row>
    <row r="63" spans="2:13" ht="75" customHeight="1" x14ac:dyDescent="0.4">
      <c r="B63" s="62"/>
      <c r="C63" s="29" t="s">
        <v>170</v>
      </c>
      <c r="D63" s="16" t="s">
        <v>172</v>
      </c>
      <c r="E63" s="63" t="s">
        <v>171</v>
      </c>
      <c r="F63" s="64"/>
      <c r="G63" s="65"/>
      <c r="H63" s="28" t="s">
        <v>40</v>
      </c>
      <c r="I63" s="17"/>
      <c r="J63" s="18"/>
      <c r="K63" s="28" t="s">
        <v>40</v>
      </c>
      <c r="L63" s="17"/>
      <c r="M63" s="18"/>
    </row>
    <row r="64" spans="2:13" ht="40.5" customHeight="1" x14ac:dyDescent="0.4">
      <c r="B64" s="62"/>
      <c r="C64" s="43" t="s">
        <v>150</v>
      </c>
      <c r="D64" s="16" t="s">
        <v>151</v>
      </c>
      <c r="E64" s="63" t="s">
        <v>152</v>
      </c>
      <c r="F64" s="64"/>
      <c r="G64" s="65"/>
      <c r="H64" s="28" t="s">
        <v>40</v>
      </c>
      <c r="I64" s="17"/>
      <c r="J64" s="18"/>
      <c r="K64" s="28" t="s">
        <v>40</v>
      </c>
      <c r="L64" s="17"/>
      <c r="M64" s="18"/>
    </row>
    <row r="65" spans="2:13" ht="114.6" customHeight="1" x14ac:dyDescent="0.4">
      <c r="B65" s="62"/>
      <c r="C65" s="43" t="s">
        <v>153</v>
      </c>
      <c r="D65" s="16" t="s">
        <v>154</v>
      </c>
      <c r="E65" s="63" t="s">
        <v>156</v>
      </c>
      <c r="F65" s="64"/>
      <c r="G65" s="65"/>
      <c r="H65" s="28" t="s">
        <v>40</v>
      </c>
      <c r="I65" s="17"/>
      <c r="J65" s="18"/>
      <c r="K65" s="28" t="s">
        <v>40</v>
      </c>
      <c r="L65" s="17"/>
      <c r="M65" s="18"/>
    </row>
  </sheetData>
  <mergeCells count="89">
    <mergeCell ref="E63:G63"/>
    <mergeCell ref="B4:D4"/>
    <mergeCell ref="C5:D5"/>
    <mergeCell ref="C6:D6"/>
    <mergeCell ref="C9:D9"/>
    <mergeCell ref="C10:D10"/>
    <mergeCell ref="C7:D7"/>
    <mergeCell ref="C8:D8"/>
    <mergeCell ref="I6:J6"/>
    <mergeCell ref="I7:J7"/>
    <mergeCell ref="I8:J8"/>
    <mergeCell ref="I5:J5"/>
    <mergeCell ref="L15:M15"/>
    <mergeCell ref="I14:J14"/>
    <mergeCell ref="H16:J16"/>
    <mergeCell ref="E18:G18"/>
    <mergeCell ref="E31:G31"/>
    <mergeCell ref="E20:G20"/>
    <mergeCell ref="B32:B46"/>
    <mergeCell ref="E32:G32"/>
    <mergeCell ref="E33:G33"/>
    <mergeCell ref="E34:G34"/>
    <mergeCell ref="E35:G35"/>
    <mergeCell ref="E36:G36"/>
    <mergeCell ref="E37:G37"/>
    <mergeCell ref="E38:G38"/>
    <mergeCell ref="E39:G39"/>
    <mergeCell ref="E40:G40"/>
    <mergeCell ref="E41:G41"/>
    <mergeCell ref="E42:G42"/>
    <mergeCell ref="B51:B60"/>
    <mergeCell ref="B16:B17"/>
    <mergeCell ref="D16:D17"/>
    <mergeCell ref="E16:G17"/>
    <mergeCell ref="E43:G43"/>
    <mergeCell ref="E44:G44"/>
    <mergeCell ref="C16:C17"/>
    <mergeCell ref="E60:G60"/>
    <mergeCell ref="E55:G55"/>
    <mergeCell ref="E56:G56"/>
    <mergeCell ref="E57:G57"/>
    <mergeCell ref="E58:G58"/>
    <mergeCell ref="E49:G49"/>
    <mergeCell ref="E6:G6"/>
    <mergeCell ref="E7:G7"/>
    <mergeCell ref="E8:G8"/>
    <mergeCell ref="E9:G9"/>
    <mergeCell ref="B47:B50"/>
    <mergeCell ref="C11:D11"/>
    <mergeCell ref="C12:D12"/>
    <mergeCell ref="C13:D13"/>
    <mergeCell ref="B62:B65"/>
    <mergeCell ref="E45:G45"/>
    <mergeCell ref="E46:G46"/>
    <mergeCell ref="E47:G47"/>
    <mergeCell ref="E48:G48"/>
    <mergeCell ref="E50:G50"/>
    <mergeCell ref="E51:G51"/>
    <mergeCell ref="E52:G52"/>
    <mergeCell ref="E53:G53"/>
    <mergeCell ref="E54:G54"/>
    <mergeCell ref="E59:G59"/>
    <mergeCell ref="E61:G61"/>
    <mergeCell ref="E62:G62"/>
    <mergeCell ref="E64:G64"/>
    <mergeCell ref="E65:G65"/>
    <mergeCell ref="H4:M4"/>
    <mergeCell ref="E4:G4"/>
    <mergeCell ref="I9:J13"/>
    <mergeCell ref="E30:G30"/>
    <mergeCell ref="E29:G29"/>
    <mergeCell ref="E28:G28"/>
    <mergeCell ref="E27:G27"/>
    <mergeCell ref="E26:G26"/>
    <mergeCell ref="E25:G25"/>
    <mergeCell ref="E24:G24"/>
    <mergeCell ref="E23:G23"/>
    <mergeCell ref="E22:G22"/>
    <mergeCell ref="E21:G21"/>
    <mergeCell ref="E19:G19"/>
    <mergeCell ref="H9:H13"/>
    <mergeCell ref="E5:G5"/>
    <mergeCell ref="K16:M16"/>
    <mergeCell ref="L5:M5"/>
    <mergeCell ref="L6:M6"/>
    <mergeCell ref="L7:M7"/>
    <mergeCell ref="L8:M8"/>
    <mergeCell ref="K9:K13"/>
    <mergeCell ref="L9:M13"/>
  </mergeCells>
  <phoneticPr fontId="1" type="noConversion"/>
  <conditionalFormatting sqref="H18:H65 K18:K65">
    <cfRule type="cellIs" dxfId="3" priority="5" operator="equal">
      <formula>"N.A"</formula>
    </cfRule>
    <cfRule type="cellIs" dxfId="2" priority="6" operator="equal">
      <formula>"Not yet"</formula>
    </cfRule>
    <cfRule type="cellIs" dxfId="1" priority="7" operator="equal">
      <formula>"NG"</formula>
    </cfRule>
    <cfRule type="cellIs" dxfId="0" priority="8" operator="equal">
      <formula>"PASS"</formula>
    </cfRule>
  </conditionalFormatting>
  <dataValidations count="1">
    <dataValidation type="list" allowBlank="1" showInputMessage="1" showErrorMessage="1" sqref="K18:K65 H18:H65" xr:uid="{540865FB-73B1-4325-9F6E-9C3E700F3F32}">
      <formula1>"PASS,NG,N.A,Not yet,Defer"</formula1>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4B9BA-D55C-47E0-9A48-208FF164675F}">
  <dimension ref="A1"/>
  <sheetViews>
    <sheetView showGridLines="0" workbookViewId="0">
      <selection activeCell="U21" sqref="U21"/>
    </sheetView>
  </sheetViews>
  <sheetFormatPr defaultColWidth="8.8984375" defaultRowHeight="17.399999999999999" x14ac:dyDescent="0.4"/>
  <sheetData/>
  <phoneticPr fontId="1"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문서" ma:contentTypeID="0x010100E3311048843E854E807D49DB33CE1450" ma:contentTypeVersion="4" ma:contentTypeDescription="새 문서를 만듭니다." ma:contentTypeScope="" ma:versionID="9939ecd0eaf73f783aea5c491a3c61fe">
  <xsd:schema xmlns:xsd="http://www.w3.org/2001/XMLSchema" xmlns:xs="http://www.w3.org/2001/XMLSchema" xmlns:p="http://schemas.microsoft.com/office/2006/metadata/properties" xmlns:ns2="4d10594e-7e37-4288-bf97-cc36ee03b62f" targetNamespace="http://schemas.microsoft.com/office/2006/metadata/properties" ma:root="true" ma:fieldsID="891fb04d3dad9badebb5d7bf001285e2" ns2:_="">
    <xsd:import namespace="4d10594e-7e37-4288-bf97-cc36ee03b62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10594e-7e37-4288-bf97-cc36ee03b62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C57EA29-D5BB-4F2B-A6A3-0F267064F0ED}">
  <ds:schemaRefs>
    <ds:schemaRef ds:uri="http://schemas.microsoft.com/sharepoint/v3/contenttype/forms"/>
  </ds:schemaRefs>
</ds:datastoreItem>
</file>

<file path=customXml/itemProps2.xml><?xml version="1.0" encoding="utf-8"?>
<ds:datastoreItem xmlns:ds="http://schemas.openxmlformats.org/officeDocument/2006/customXml" ds:itemID="{BB0FD283-A433-4C02-80BC-A8EB470CCDC1}">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077C70E3-AF64-475B-BD4E-3ACC8660B58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IR checklist</vt:lpstr>
      <vt:lpstr>1. Power sequence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김 동남</dc:creator>
  <cp:keywords/>
  <dc:description/>
  <cp:lastModifiedBy>김 동남</cp:lastModifiedBy>
  <cp:revision/>
  <dcterms:created xsi:type="dcterms:W3CDTF">2022-10-13T00:27:07Z</dcterms:created>
  <dcterms:modified xsi:type="dcterms:W3CDTF">2026-01-05T06:09:04Z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0x010100E3311048843E854E807D49DB33CE1450</vt:lpwstr>
  </property>
  <property fmtid="{D5CDD505-2E9C-101B-9397-08002B2CF9AE}" pid="3" name="MediaServiceImageTags">
    <vt:lpwstr/>
  </property>
  <property fmtid="{D5CDD505-2E9C-101B-9397-08002B2CF9AE}" pid="4" name="Order">
    <vt:r8>14300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