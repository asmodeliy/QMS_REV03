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7"/>
  <workbookPr defaultThemeVersion="166925"/>
  <mc:AlternateContent xmlns:mc="http://schemas.openxmlformats.org/markup-compatibility/2006">
    <mc:Choice Requires="x15">
      <x15ac:absPath xmlns:x15ac="http://schemas.microsoft.com/office/spreadsheetml/2010/11/ac" url="https://ramschip.sharepoint.com/sites/IPDocumentcenter/Shared Documents/■ IR Check sheet/MIPI DCPHY/MIPI DCPHY_LN08LPU/"/>
    </mc:Choice>
  </mc:AlternateContent>
  <xr:revisionPtr revIDLastSave="212" documentId="8_{DF9C0122-4F59-473F-81F4-46709E1E6794}" xr6:coauthVersionLast="47" xr6:coauthVersionMax="47" xr10:uidLastSave="{F1E499B8-3049-4E0C-93AE-6C6445D18F86}"/>
  <bookViews>
    <workbookView xWindow="-51720" yWindow="30" windowWidth="51840" windowHeight="21120" xr2:uid="{613300CC-291C-4065-8E3E-A91DF5A5D310}"/>
  </bookViews>
  <sheets>
    <sheet name="IR checklist" sheetId="2" r:id="rId1"/>
    <sheet name="SnapShot"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 i="2" l="1"/>
  <c r="L8" i="2"/>
  <c r="L7" i="2"/>
  <c r="L6" i="2"/>
  <c r="L5" i="2"/>
  <c r="I8" i="2"/>
  <c r="I7" i="2"/>
  <c r="I5" i="2"/>
  <c r="L9" i="2" l="1"/>
  <c r="I9" i="2" l="1"/>
</calcChain>
</file>

<file path=xl/sharedStrings.xml><?xml version="1.0" encoding="utf-8"?>
<sst xmlns="http://schemas.openxmlformats.org/spreadsheetml/2006/main" count="360" uniqueCount="224">
  <si>
    <t>IR CHECKLIST</t>
    <phoneticPr fontId="1" type="noConversion"/>
  </si>
  <si>
    <t>1. BASIC INFORMATION</t>
    <phoneticPr fontId="1" type="noConversion"/>
  </si>
  <si>
    <t>COLOR DESCRIPTION (ITEM)</t>
    <phoneticPr fontId="1" type="noConversion"/>
  </si>
  <si>
    <t>SCORE</t>
    <phoneticPr fontId="1" type="noConversion"/>
  </si>
  <si>
    <t>Process</t>
    <phoneticPr fontId="1" type="noConversion"/>
  </si>
  <si>
    <t>Item</t>
    <phoneticPr fontId="1" type="noConversion"/>
  </si>
  <si>
    <t>PASS</t>
    <phoneticPr fontId="1" type="noConversion"/>
  </si>
  <si>
    <t>Project name</t>
    <phoneticPr fontId="1" type="noConversion"/>
  </si>
  <si>
    <t>For Project Manager or SOC (Block Top)</t>
    <phoneticPr fontId="1" type="noConversion"/>
  </si>
  <si>
    <t>NG</t>
    <phoneticPr fontId="1" type="noConversion"/>
  </si>
  <si>
    <t>Customer</t>
    <phoneticPr fontId="1" type="noConversion"/>
  </si>
  <si>
    <t>For Logical Designer(RTL)</t>
    <phoneticPr fontId="1" type="noConversion"/>
  </si>
  <si>
    <t>N.A</t>
    <phoneticPr fontId="1" type="noConversion"/>
  </si>
  <si>
    <t>Application</t>
    <phoneticPr fontId="1" type="noConversion"/>
  </si>
  <si>
    <t>For Physical Designer(Layout - Physical Design)</t>
    <phoneticPr fontId="1" type="noConversion"/>
  </si>
  <si>
    <t>Not yet</t>
    <phoneticPr fontId="1" type="noConversion"/>
  </si>
  <si>
    <t>Product manager</t>
    <phoneticPr fontId="1" type="noConversion"/>
  </si>
  <si>
    <t>For Physical Designer(Physical Implementation)</t>
    <phoneticPr fontId="1" type="noConversion"/>
  </si>
  <si>
    <t>IP designer</t>
    <phoneticPr fontId="1" type="noConversion"/>
  </si>
  <si>
    <t>QA manager</t>
    <phoneticPr fontId="1" type="noConversion"/>
  </si>
  <si>
    <t>Integration review date</t>
    <phoneticPr fontId="1" type="noConversion"/>
  </si>
  <si>
    <t>MTO Schedule</t>
    <phoneticPr fontId="1" type="noConversion"/>
  </si>
  <si>
    <t>50~79%</t>
    <phoneticPr fontId="1" type="noConversion"/>
  </si>
  <si>
    <t>IR can be started</t>
    <phoneticPr fontId="1" type="noConversion"/>
  </si>
  <si>
    <t>2. DESIGN CHECK SHEET</t>
    <phoneticPr fontId="1" type="noConversion"/>
  </si>
  <si>
    <t>80~99%</t>
    <phoneticPr fontId="1" type="noConversion"/>
  </si>
  <si>
    <t>IR can be determined as marginal pass</t>
    <phoneticPr fontId="1" type="noConversion"/>
  </si>
  <si>
    <t>Under 50%</t>
    <phoneticPr fontId="1" type="noConversion"/>
  </si>
  <si>
    <t>IR can not be started</t>
    <phoneticPr fontId="1" type="noConversion"/>
  </si>
  <si>
    <t>Recommendation :</t>
    <phoneticPr fontId="1" type="noConversion"/>
  </si>
  <si>
    <t>when you fill the integration review checklist, please follow the guide in IP datasheet and userguide.</t>
    <phoneticPr fontId="1" type="noConversion"/>
  </si>
  <si>
    <t>CATEGORY</t>
    <phoneticPr fontId="1" type="noConversion"/>
  </si>
  <si>
    <t>ITEM</t>
    <phoneticPr fontId="1" type="noConversion"/>
  </si>
  <si>
    <t>CHECK POINT</t>
    <phoneticPr fontId="1" type="noConversion"/>
  </si>
  <si>
    <t>CHECK METHOD</t>
    <phoneticPr fontId="1" type="noConversion"/>
  </si>
  <si>
    <t>PRODUCT (PROJECT)</t>
    <phoneticPr fontId="1" type="noConversion"/>
  </si>
  <si>
    <t>IP</t>
    <phoneticPr fontId="1" type="noConversion"/>
  </si>
  <si>
    <t>CHECK RESULT</t>
    <phoneticPr fontId="1" type="noConversion"/>
  </si>
  <si>
    <t>NAME/DATE
(YY.MM.DD)</t>
    <phoneticPr fontId="1" type="noConversion"/>
  </si>
  <si>
    <t>NOTE</t>
    <phoneticPr fontId="1" type="noConversion"/>
  </si>
  <si>
    <t>Fundamental 
information</t>
    <phoneticPr fontId="1" type="noConversion"/>
  </si>
  <si>
    <t>Temperature &amp; Reliability check condition</t>
    <phoneticPr fontId="1" type="noConversion"/>
  </si>
  <si>
    <t>Is the chip operating temperature condition and life cycle checked?</t>
    <phoneticPr fontId="1" type="noConversion"/>
  </si>
  <si>
    <t>Review and make comments
 - Chip operating environment (mobile, automotive, network)
 - Junction temperature condition
 - The reliability(EM) cycle(time)</t>
    <phoneticPr fontId="1" type="noConversion"/>
  </si>
  <si>
    <t>Not yet</t>
  </si>
  <si>
    <t>IP Version check</t>
    <phoneticPr fontId="1" type="noConversion"/>
  </si>
  <si>
    <t>IP DK Version</t>
    <phoneticPr fontId="1" type="noConversion"/>
  </si>
  <si>
    <t>Check whether the version of the DB used is final (FE/BE/DOC)</t>
    <phoneticPr fontId="1" type="noConversion"/>
  </si>
  <si>
    <t>Order form re-check</t>
    <phoneticPr fontId="1" type="noConversion"/>
  </si>
  <si>
    <t>Order Form</t>
    <phoneticPr fontId="1" type="noConversion"/>
  </si>
  <si>
    <t>Are specification consensus done with order form between customer and IP designer?</t>
    <phoneticPr fontId="1" type="noConversion"/>
  </si>
  <si>
    <t>Please attach the final OrderForm doc. which are confirmed.</t>
    <phoneticPr fontId="1" type="noConversion"/>
  </si>
  <si>
    <t>Function check</t>
    <phoneticPr fontId="1" type="noConversion"/>
  </si>
  <si>
    <t>HTOL</t>
    <phoneticPr fontId="1" type="noConversion"/>
  </si>
  <si>
    <t>In full-chip level HTOL(SCAN) test mode, have you checked that the IP's inputs are set as conditions guaranteed by the UserGuide? Have you verified that the IP operates without any problem by simulation</t>
    <phoneticPr fontId="1" type="noConversion"/>
  </si>
  <si>
    <t>1) Please share dump file path and file name
2) Please share the IP's hierarchical information
3) Please share used waveform view &amp; version</t>
    <phoneticPr fontId="1" type="noConversion"/>
  </si>
  <si>
    <t>Power up check</t>
    <phoneticPr fontId="1" type="noConversion"/>
  </si>
  <si>
    <t>Is power-management sequence which is supplied to IP guaranteed in SoC?</t>
    <phoneticPr fontId="1" type="noConversion"/>
  </si>
  <si>
    <t>Please share the figure of the power sequence or dump file.
- If you share a dump file, please share file path / file name / IP's hierarchical information.
- If there is no figure or dump file, please make comments about power sequence(e.g. ALWAYS ON, ALIVE, etc.).</t>
    <phoneticPr fontId="1" type="noConversion"/>
  </si>
  <si>
    <t>Start up check</t>
    <phoneticPr fontId="1" type="noConversion"/>
  </si>
  <si>
    <t>IP start-up sequence check</t>
    <phoneticPr fontId="1" type="noConversion"/>
  </si>
  <si>
    <t>Have you checked that the clock input and control signals are applied according to the start-up sequence described in the Datasheet?</t>
    <phoneticPr fontId="1" type="noConversion"/>
  </si>
  <si>
    <t>Power down check</t>
    <phoneticPr fontId="1" type="noConversion"/>
  </si>
  <si>
    <t>Power down sequence check</t>
    <phoneticPr fontId="1" type="noConversion"/>
  </si>
  <si>
    <t>Have you checked that the power sequence applied in the product follows the power sequence described in the Datasheet?</t>
    <phoneticPr fontId="1" type="noConversion"/>
  </si>
  <si>
    <t>Function simulation</t>
    <phoneticPr fontId="1" type="noConversion"/>
  </si>
  <si>
    <t>Input control sequence during the operation</t>
    <phoneticPr fontId="1" type="noConversion"/>
  </si>
  <si>
    <t>Are the verification results in product level shared with IP designer? (IP normal scenario; RTL simulation or post simulation results under the actual product scenario)
Please check whether appropriate control and default value are applied through those Verilog simulations.</t>
    <phoneticPr fontId="1" type="noConversion"/>
  </si>
  <si>
    <t>Stand-by scenario during lock-time</t>
    <phoneticPr fontId="1" type="noConversion"/>
  </si>
  <si>
    <t>If the IP is a clock IP which outputs the target frequency after a certain time, have you checked whether this is reflected to the system implementation where the system waits for the lock time/settling time as specified in the Datasheet?</t>
    <phoneticPr fontId="1" type="noConversion"/>
  </si>
  <si>
    <t>Test mode verification</t>
    <phoneticPr fontId="1" type="noConversion"/>
  </si>
  <si>
    <t>Have you checked that, in the test mode for evaluating the IP's characteristics, the maximum frequency output to I/O is within the specified maximum operating speed of I/O? 
Write the maximum frequency output in column J 'Note'</t>
    <phoneticPr fontId="1" type="noConversion"/>
  </si>
  <si>
    <t>SFR Setting Check</t>
    <phoneticPr fontId="1" type="noConversion"/>
  </si>
  <si>
    <t xml:space="preserve">Are SFR setting values applied as the guide which is provided by IP designer? </t>
    <phoneticPr fontId="1" type="noConversion"/>
  </si>
  <si>
    <t>Please reviews it and attach confirmation email from IP designer</t>
    <phoneticPr fontId="1" type="noConversion"/>
  </si>
  <si>
    <t>Function - ATE(Automatic Test Equipment) Vector Test</t>
    <phoneticPr fontId="1" type="noConversion"/>
  </si>
  <si>
    <t>Are function test results reviewed? (All about IP's test mode)
Please check whether appropriate control and default value are applied through those Verilog simulations.</t>
    <phoneticPr fontId="1" type="noConversion"/>
  </si>
  <si>
    <t>1) Please share dump file path and file name
2) Please share the IP's hierarchical information on fullchip
3) Please share used waveform view &amp; version</t>
    <phoneticPr fontId="1" type="noConversion"/>
  </si>
  <si>
    <t>Input controllability</t>
    <phoneticPr fontId="1" type="noConversion"/>
  </si>
  <si>
    <t>Have you checked if there is any case where specific inputs of IP are connected to a ROM code or tie cell and cannot be easily modified by SW modification? 
If there is, write the list of IP's inputs connected to ROM code or signal in column J, 'Note'</t>
    <phoneticPr fontId="1" type="noConversion"/>
  </si>
  <si>
    <t>Have you verified the cases when IP is connected to ROM/Tie cell by Verilog simulation and checked there is no problem?</t>
    <phoneticPr fontId="1" type="noConversion"/>
  </si>
  <si>
    <t>Unused pin check</t>
    <phoneticPr fontId="1" type="noConversion"/>
  </si>
  <si>
    <t>Are there any IP input/output pins that are not used? All IP inputs except the unused-pin list must be controllable.</t>
    <phoneticPr fontId="1" type="noConversion"/>
  </si>
  <si>
    <t>On-chip LDO Setting</t>
    <phoneticPr fontId="1" type="noConversion"/>
  </si>
  <si>
    <t xml:space="preserve">LDO setting </t>
    <phoneticPr fontId="1" type="noConversion"/>
  </si>
  <si>
    <t>In case IP power is received from another LDO IP, have you checked the following information so that stable voltage is supplied during IP operation?
-. If LDO trim is needed, has the appropriate trim code value been applied to 
   the LDO?
-. If the LDO uses the chopping mode, is the chopping clock supplied 
   according to the guide?</t>
    <phoneticPr fontId="1" type="noConversion"/>
  </si>
  <si>
    <t>APB _ Write Transfer</t>
    <phoneticPr fontId="1" type="noConversion"/>
  </si>
  <si>
    <t xml:space="preserve">Check for write sequence </t>
    <phoneticPr fontId="1" type="noConversion"/>
  </si>
  <si>
    <t>APB _ Read Transfer</t>
    <phoneticPr fontId="1" type="noConversion"/>
  </si>
  <si>
    <t xml:space="preserve">Check for read sequence </t>
    <phoneticPr fontId="1" type="noConversion"/>
  </si>
  <si>
    <t>Timing Skew Check for Direct Access Port in Test Mode</t>
    <phoneticPr fontId="1" type="noConversion"/>
  </si>
  <si>
    <t>Are timing skew for ports which access directly from GPIO checked for direct access (stand-alone) test?
When in PHY Test mode, the APB interface is accessed immediately from the GPIO. At this time, check whether skew is considered for Multi bit. (For example, PADDR (16bit), RDATA, PWDATA (16bit), PSEL, PENALBE, PWRITE) If there is a difference in skew, eventually the ATE must turn on the timing to skew. In fact, it is difficult to consider skew in the ATE. In the Post STA result, the skew report is received separately.</t>
    <phoneticPr fontId="1" type="noConversion"/>
  </si>
  <si>
    <t>Please attach  the report of the time delay from GPIO to target ports of IP (This is for  checking timing skew between ports for ATE) 
Use skew report from post STA, about IN/OUT multi-bit.
Please, refer IP user guide to check target pins and timing requirements.</t>
    <phoneticPr fontId="1" type="noConversion"/>
  </si>
  <si>
    <t>STA(Static Timing Analysis)</t>
    <phoneticPr fontId="1" type="noConversion"/>
  </si>
  <si>
    <t>Are STA results between IP and product reviewed?
1) Review the unconstraint path with the IP designer (The important timing path must be constraint path)
2) Check the timing report (setup / hold timing reports)</t>
  </si>
  <si>
    <t>1) Please share STA Report: Refer to Datasheet &amp; Userguide to check IP's pin name of interest with respect to STA (e.g. FIN, FOUT) 
2) Plase share the unconstraint path list</t>
    <phoneticPr fontId="1" type="noConversion"/>
  </si>
  <si>
    <t>Network Jitter</t>
    <phoneticPr fontId="1" type="noConversion"/>
  </si>
  <si>
    <t>Floor plan</t>
    <phoneticPr fontId="1" type="noConversion"/>
  </si>
  <si>
    <t>Product floor plan</t>
    <phoneticPr fontId="1" type="noConversion"/>
  </si>
  <si>
    <t xml:space="preserve">Is the floorplan shared with IP designer in advance? </t>
    <phoneticPr fontId="1" type="noConversion"/>
  </si>
  <si>
    <t>Please share product floorplan that shows the location of all IPs</t>
    <phoneticPr fontId="1" type="noConversion"/>
  </si>
  <si>
    <t>PAD</t>
    <phoneticPr fontId="1" type="noConversion"/>
  </si>
  <si>
    <t>I/O pad type</t>
    <phoneticPr fontId="1" type="noConversion"/>
  </si>
  <si>
    <t>Have you checked that appropriate type of I/O are used? Write the name of the used I/O in column J, 'Note'</t>
    <phoneticPr fontId="1" type="noConversion"/>
  </si>
  <si>
    <t>Isolation of I/O pad</t>
    <phoneticPr fontId="1" type="noConversion"/>
  </si>
  <si>
    <t>Noise around I/O pad</t>
    <phoneticPr fontId="1" type="noConversion"/>
  </si>
  <si>
    <t>Have you checked that there is no noisy sources (i.e. Tx Driver/Signal I/O) placed around the IP's Power I/O?</t>
    <phoneticPr fontId="1" type="noConversion"/>
  </si>
  <si>
    <t>IP Placement</t>
    <phoneticPr fontId="1" type="noConversion"/>
  </si>
  <si>
    <t>Is minimum distance between IP and the other glue logic to ensure no DRC violation secured?
What is the distance between IP and noisy or high power consuming IPs (e.g. DDRPHY)?</t>
    <phoneticPr fontId="1" type="noConversion"/>
  </si>
  <si>
    <t>Integration check</t>
    <phoneticPr fontId="1" type="noConversion"/>
  </si>
  <si>
    <t>Bumpmap</t>
    <phoneticPr fontId="1" type="noConversion"/>
  </si>
  <si>
    <t>Is bumpmap of each IP shared and reviewed by IP designer?</t>
    <phoneticPr fontId="1" type="noConversion"/>
  </si>
  <si>
    <t>Please share bumpmap file or figure.
If there is no Bump, please write N/A.</t>
    <phoneticPr fontId="1" type="noConversion"/>
  </si>
  <si>
    <t>I/O ring check</t>
    <phoneticPr fontId="1" type="noConversion"/>
  </si>
  <si>
    <t>Is RTO/SNS/VSS ring connected without breaking in IP's LEF and GDS? 
Are the defined as ports in IP's LEF and GDS?</t>
    <phoneticPr fontId="1" type="noConversion"/>
  </si>
  <si>
    <t>Please check and specify the RTO/SNS/VSS's ring and ports in case of IP including GPIOs</t>
    <phoneticPr fontId="1" type="noConversion"/>
  </si>
  <si>
    <t>Breakcell check</t>
    <phoneticPr fontId="1" type="noConversion"/>
  </si>
  <si>
    <t>Are the breakcells on I/O ring on top level connected properly according to guide?</t>
    <phoneticPr fontId="1" type="noConversion"/>
  </si>
  <si>
    <t>Linker cell check</t>
    <phoneticPr fontId="1" type="noConversion"/>
  </si>
  <si>
    <t>Is linker cell used beside I/O ring of IP?</t>
    <phoneticPr fontId="1" type="noConversion"/>
  </si>
  <si>
    <t>If linker cells are used, please specify the cell name</t>
    <phoneticPr fontId="1" type="noConversion"/>
  </si>
  <si>
    <t>Back to back diode ( Anti-parallel diode )</t>
    <phoneticPr fontId="1" type="noConversion"/>
  </si>
  <si>
    <t>Are all the ground pins connected to the logic ground in IP connected by metal according to pin width?
(e.g. VSS_CDM port which is back-to-back diode output on IP connected to the ground of the product by proper metal and width)</t>
    <phoneticPr fontId="1" type="noConversion"/>
  </si>
  <si>
    <t>Important signal shielding</t>
    <phoneticPr fontId="1" type="noConversion"/>
  </si>
  <si>
    <t>Are important input/output signals of IP shielded in full chip level?</t>
    <phoneticPr fontId="1" type="noConversion"/>
  </si>
  <si>
    <t>Please share the screen captured image or GDS: specify the important input/output signals.
And please share the shielding information of signal lines. 
1) Clock shielding ratio: (shielded line length/total line length)*100
2) Metal name &amp; length</t>
    <phoneticPr fontId="1" type="noConversion"/>
  </si>
  <si>
    <t>Verification rule check</t>
    <phoneticPr fontId="1" type="noConversion"/>
  </si>
  <si>
    <t>Are there any DRC, EAC or PERC errors of IP in chip level? If there are, are these checked and waived by IP designer?</t>
    <phoneticPr fontId="1" type="noConversion"/>
  </si>
  <si>
    <t xml:space="preserve">Please review it and attach the waive-list.
If there is no error regarding IP, please write comment "There is no error regarding IP". </t>
    <phoneticPr fontId="1" type="noConversion"/>
  </si>
  <si>
    <t>IO Connection Check</t>
    <phoneticPr fontId="1" type="noConversion"/>
  </si>
  <si>
    <t>Check the minimum routing resistance and skew, if the IP does not include IO. (ex: LVDS, USB, DCPHY)</t>
    <phoneticPr fontId="1" type="noConversion"/>
  </si>
  <si>
    <t>1) Please attach the layout capture for routing between the core and I/Os.
2) Please attach the layout capture for differential signal routings.</t>
    <phoneticPr fontId="1" type="noConversion"/>
  </si>
  <si>
    <t>Top layout review</t>
    <phoneticPr fontId="1" type="noConversion"/>
  </si>
  <si>
    <t>Is the final version of top layout of the full chip shared?
Is it reviewed by the IP designer whether there is no issue in physical integration on IP level inputs, outputs, IOs, power supplies, ground to full chip level connections, IP space?</t>
    <phoneticPr fontId="1" type="noConversion"/>
  </si>
  <si>
    <t>ESD</t>
    <phoneticPr fontId="1" type="noConversion"/>
  </si>
  <si>
    <t>Back-to-back diode connection</t>
    <phoneticPr fontId="1" type="noConversion"/>
  </si>
  <si>
    <t>RDL</t>
    <phoneticPr fontId="1" type="noConversion"/>
  </si>
  <si>
    <t>RDL routing crosstalk</t>
    <phoneticPr fontId="1" type="noConversion"/>
  </si>
  <si>
    <t>Have you made sure that no "signal RDL" of other block(s) pass over the IP? Rule of thumb is that nothing is allowed to go over the IP except the power bump of the IP itself or the power RDL of the IP itself.</t>
    <phoneticPr fontId="1" type="noConversion"/>
  </si>
  <si>
    <t>PDN</t>
    <phoneticPr fontId="1" type="noConversion"/>
  </si>
  <si>
    <t>PDN analysis - execution/review</t>
    <phoneticPr fontId="1" type="noConversion"/>
  </si>
  <si>
    <t>Have you reviewed the power noise of the IP and the reviewed the PDN results?</t>
    <phoneticPr fontId="1" type="noConversion"/>
  </si>
  <si>
    <t>Check the level of voltage ripple</t>
    <phoneticPr fontId="1" type="noConversion"/>
  </si>
  <si>
    <t>Have you checked that the voltage ripple specification for each IP allowed as a the result of PDN analysis are satisfied?
-. High power supply voltage for the PHY Core : under 30mVpp
-. Low power supply volatage for the PHY Core: under 20mVpp</t>
    <phoneticPr fontId="1" type="noConversion"/>
  </si>
  <si>
    <t>Check whether PDN analysis results are considered in integration</t>
    <phoneticPr fontId="1" type="noConversion"/>
  </si>
  <si>
    <t>Power &amp; Ground routing</t>
    <phoneticPr fontId="1" type="noConversion"/>
  </si>
  <si>
    <t>Power routing</t>
    <phoneticPr fontId="1" type="noConversion"/>
  </si>
  <si>
    <t>Power routing connection - width/metal</t>
    <phoneticPr fontId="1" type="noConversion"/>
  </si>
  <si>
    <t xml:space="preserve">Have you connected the power/ground routings by using the same metal layer/width as defined at the IP port? Or did you connect them with wider metal/more metal stack (which is also an allowed case)? </t>
    <phoneticPr fontId="1" type="noConversion"/>
  </si>
  <si>
    <t>ESD check</t>
    <phoneticPr fontId="1" type="noConversion"/>
  </si>
  <si>
    <t>Shielding</t>
    <phoneticPr fontId="1" type="noConversion"/>
  </si>
  <si>
    <t>Shielding of major signals</t>
    <phoneticPr fontId="1" type="noConversion"/>
  </si>
  <si>
    <t>Check input &amp; outpunt clock declaration</t>
    <phoneticPr fontId="1" type="noConversion"/>
  </si>
  <si>
    <t>Verification check</t>
    <phoneticPr fontId="1" type="noConversion"/>
  </si>
  <si>
    <t>Device List check</t>
    <phoneticPr fontId="1" type="noConversion"/>
  </si>
  <si>
    <t>Check if all devices in IP are available in the product.</t>
    <phoneticPr fontId="1" type="noConversion"/>
  </si>
  <si>
    <t>Please check device list with this method in below.
- In IP BE-Common, LVS report(lvsprt_ca.lvs) file includes IP device list.
Product designer should check if all of the devices are available in the product. If there is an issue, please contact IP designer.
- Product designer share the device list of product, then IP designer would check it.</t>
    <phoneticPr fontId="1" type="noConversion"/>
  </si>
  <si>
    <t>Off-Chip</t>
    <phoneticPr fontId="1" type="noConversion"/>
  </si>
  <si>
    <t>Package Ground Plane Merge</t>
    <phoneticPr fontId="1" type="noConversion"/>
  </si>
  <si>
    <t>Is the ground of the IP merged with ground plane of SOC in package level?</t>
    <phoneticPr fontId="1" type="noConversion"/>
  </si>
  <si>
    <t>Please review the ground ball name in ball map and where the merging point is and attach the confirm material</t>
    <phoneticPr fontId="1" type="noConversion"/>
  </si>
  <si>
    <t>Package Sign-Off</t>
    <phoneticPr fontId="1" type="noConversion"/>
  </si>
  <si>
    <t>Is the package sign-off confirmed by DT(Design technology) and package team?</t>
    <phoneticPr fontId="1" type="noConversion"/>
  </si>
  <si>
    <t>Please review and attach the results</t>
    <phoneticPr fontId="1" type="noConversion"/>
  </si>
  <si>
    <t>Ballmap</t>
    <phoneticPr fontId="1" type="noConversion"/>
  </si>
  <si>
    <t>Are ballmaps for IP reviewed with IP designer?
If there is an fixed signal order of connector, are signal balls correctly placed?</t>
    <phoneticPr fontId="1" type="noConversion"/>
  </si>
  <si>
    <t>Please attach ball-maps and review confirmation emails from IP designer.
If that IP use connector, please fill in signal order of connector</t>
    <phoneticPr fontId="1" type="noConversion"/>
  </si>
  <si>
    <t>FLOOR PLAN</t>
    <phoneticPr fontId="1" type="noConversion"/>
  </si>
  <si>
    <t>Product floor plan</t>
  </si>
  <si>
    <t>PAD</t>
  </si>
  <si>
    <t>IP Placement</t>
  </si>
  <si>
    <t>Bumpmap  &amp;  RDL</t>
    <phoneticPr fontId="1" type="noConversion"/>
  </si>
  <si>
    <t>Back to back diode ( Anti-parallel diode )  &amp;  ESD</t>
    <phoneticPr fontId="1" type="noConversion"/>
  </si>
  <si>
    <t>-Top to Sub</t>
    <phoneticPr fontId="1" type="noConversion"/>
  </si>
  <si>
    <t>-Sub to IP</t>
    <phoneticPr fontId="1" type="noConversion"/>
  </si>
  <si>
    <t>- INV With Decap</t>
    <phoneticPr fontId="1" type="noConversion"/>
  </si>
  <si>
    <t>Shielding</t>
  </si>
  <si>
    <t xml:space="preserve">-all layer </t>
    <phoneticPr fontId="1" type="noConversion"/>
  </si>
  <si>
    <t>-with out p/g layer</t>
    <phoneticPr fontId="1" type="noConversion"/>
  </si>
  <si>
    <t>- zoom to Signal</t>
    <phoneticPr fontId="1" type="noConversion"/>
  </si>
  <si>
    <t>Verification rule check</t>
  </si>
  <si>
    <t>- ERC Result</t>
    <phoneticPr fontId="1" type="noConversion"/>
  </si>
  <si>
    <t>-PERC Result</t>
    <phoneticPr fontId="1" type="noConversion"/>
  </si>
  <si>
    <t>NO</t>
  </si>
  <si>
    <t>RULE</t>
  </si>
  <si>
    <t>Description</t>
  </si>
  <si>
    <t>Number of Error</t>
  </si>
  <si>
    <t>Comments</t>
    <phoneticPr fontId="1" type="noConversion"/>
  </si>
  <si>
    <t>Location</t>
  </si>
  <si>
    <t>Remark</t>
  </si>
  <si>
    <t>ETC</t>
  </si>
  <si>
    <t>1</t>
  </si>
  <si>
    <t>2</t>
    <phoneticPr fontId="1" type="noConversion"/>
  </si>
  <si>
    <t>Power &amp; Ground routing</t>
  </si>
  <si>
    <t>-all Layer</t>
    <phoneticPr fontId="1" type="noConversion"/>
  </si>
  <si>
    <t>- Power Connection</t>
    <phoneticPr fontId="1" type="noConversion"/>
  </si>
  <si>
    <t xml:space="preserve">     .</t>
    <phoneticPr fontId="1" type="noConversion"/>
  </si>
  <si>
    <t>ATB (Analog Test Bus)</t>
    <phoneticPr fontId="1" type="noConversion"/>
  </si>
  <si>
    <t>Is the IP placed properly based on "1.3.5 space guide between IP and SoC from userguide?
-. IP Layout guide does not limit minimum space between IP and the ohter glue logic.
   however, DRC rule should not be violated. 5-um space is recommended for DRC rule.
   Space between IP and the noisy IO output buffer(for example DDR PHY) is important. 
   Place the noisy output pad as far as possible from IP. 
Please specify the distance or attach a captured image</t>
    <phoneticPr fontId="1" type="noConversion"/>
  </si>
  <si>
    <t>Has the read transfer been set up correctly?
•	PADDR, PWRITE, and PSEL signals are modified after the rising edge of the PCLK.
•	After the following edge of the PCLK, PENABLE signal is asserted.
•	The slave provides the PRDATA during the access cycle.
•	The data is sampled on the rising edge of PCLK at the end of the access cycle.</t>
    <phoneticPr fontId="1" type="noConversion"/>
  </si>
  <si>
    <t>Timing control registers of 
high-speed data transmmison</t>
    <phoneticPr fontId="1" type="noConversion"/>
  </si>
  <si>
    <t>For C-PHY, the preamble timing of master lane should be selected to the maximum length (448 UI) for C-PHY slave data lane.
In addition, the post sequence timing of master lane should be selected to the maximum length (224 UI) for C-PHY slave data lane.</t>
    <phoneticPr fontId="1" type="noConversion"/>
  </si>
  <si>
    <t>Check for timing length</t>
    <phoneticPr fontId="1" type="noConversion"/>
  </si>
  <si>
    <t>Implementatiaon
check</t>
    <phoneticPr fontId="1" type="noConversion"/>
  </si>
  <si>
    <t>Please attach the result of the input clock jitter simulation from the clock source on SOC to the IP's input clock pin
-. Check the input clcok jitter with clock jitter simulation flow including on-chip network
   jitter before product tape-out. it must be checked through integration review flow.</t>
    <phoneticPr fontId="1" type="noConversion"/>
  </si>
  <si>
    <t>Are the clock network jitters from full chip shared and reviewed with IP designers? 
-. check for maximum jitter +/- 200ps</t>
    <phoneticPr fontId="1" type="noConversion"/>
  </si>
  <si>
    <t xml:space="preserve">If breakcells are used, please specify the cell name
Read "1.3.6 Break cell guide" from the Userguide.
-. please refer to the figure 1-18 in rs_dcphy3300_ln08lpu_v1p0_userguide.
-. The IP does not include the break cell inside macro. Signal routing over IP is not 
   allowed. Break cells should be inserted besides the IP as illustrated in Figure 1-18. 
   It is recommended to place the break cell as close as possible. </t>
    <phoneticPr fontId="1" type="noConversion"/>
  </si>
  <si>
    <t>Please share the list of unused pins. 
1) Please specify about the pin-names that are not used or not controllable.
2) Please write the logical states of the unused pins. (e.g. tie to vdd with tie-cell, tie to gnd with logic block, floating)
3) If all pins are controllable, please write "All pins are used and controllable" with the name of the person in charge.
•	On chip guide
-. The unused input pins should be connected to the ground (in case of the active high 
   operation) or the power (in case of the active low operation). 
-. The unused output pins should be the floating net (NC).
•	Off chip guide 
-. The unused input pins (slave DP/DN, slave CLKP/CLKN) are tied to ground. 
-. The unused output pins (master DP/DN, master CLKP/CLKN) are the floating net (NC).
-. M_VREG_0P4V pin into the unused master block are the floating net (NC). The external 
   capacitor does not required to be connected.</t>
    <phoneticPr fontId="1" type="noConversion"/>
  </si>
  <si>
    <t>Please share the layout captured image of the connected by each metal layer. 
1) VSS_CDM must be connected to SoC ground net using thick metal and sufficient VIAs</t>
    <phoneticPr fontId="1" type="noConversion"/>
  </si>
  <si>
    <t xml:space="preserve">Have you added sufficient on-chip De-cap between IP's power and ground based on PDN analysis result? </t>
    <phoneticPr fontId="1" type="noConversion"/>
  </si>
  <si>
    <t>Have you connected the CDM/Clamp/IO according to the guidelines described in the Userguide "1.3.3 power and ground routings with ESD protection", and got confirmed by ESD team after reviewing the final version? 
Or is there any tool (PERC/DRC/Pathfinder etc.) verification result? Write the name of the ESD reviewer in column J, 'Note'.</t>
    <phoneticPr fontId="1" type="noConversion"/>
  </si>
  <si>
    <t>Routing guide at IP Side</t>
    <phoneticPr fontId="1" type="noConversion"/>
  </si>
  <si>
    <t xml:space="preserve">There are signals and powers at IP side. signal or power routing with these ports is not allowed except the I/O ring. 
</t>
    <phoneticPr fontId="1" type="noConversion"/>
  </si>
  <si>
    <t>Read 1.3 Layout guidee" from the Userguide.
Ground shielding must be applied to the following signal pins :
•	M_XI, B_XI, S_XI, P_XI
•	M_TXWORDCLKHSCLK, M_TXWORDCLKHS0, M_TXWORDCLKHS1, M_TXWORDCLKHS2
•	S_RXWORDCLKHS0, S_RXWORDCLKHS1, S_RXWORDCLKHS2, S_RXWORDCLKHS3
It is recommended to use the width of shielding metal same as that of the signal in both the sides of signal.
please check these with IP designer.</t>
    <phoneticPr fontId="1" type="noConversion"/>
  </si>
  <si>
    <t>Input &amp; Output 
Clock Connection</t>
    <phoneticPr fontId="1" type="noConversion"/>
  </si>
  <si>
    <t xml:space="preserve">Have you properly routed the input/output clock signals? </t>
    <phoneticPr fontId="1" type="noConversion"/>
  </si>
  <si>
    <t>Have you used the latest version of DK from Rasmschip? 
Enter the name of the used DK and released date in column J, 'Note'</t>
    <phoneticPr fontId="1" type="noConversion"/>
  </si>
  <si>
    <t>Have you checked If there is the case that input control signals change while the IP is enabled and in normal operation? Is there any problem? Have you simulated the operation scenario with the verilog model in the real integration environment?</t>
    <phoneticPr fontId="1" type="noConversion"/>
  </si>
  <si>
    <t>Has the write transfer been set up correctly?
•	PADDR, PWRITE, PSEL, and PWDATA signals are modified after the rising edge of the PCLK.
•	After the following edge of the PCLK, PENABLE signal is asserted.
•	PADDR, PWDATA, and PSEL signals remain valid throughout the access cycle and the transfer completes at the end of the cycle.
•	PENABLE signal is deasserted at the end of the transfer. The PSEL signal proceeds to low.
•	Only one signal should be set when reading or writing register through APB signals.</t>
    <phoneticPr fontId="1" type="noConversion"/>
  </si>
  <si>
    <t xml:space="preserve">Is the Power I/O for the IP properly separated from noise interference around using slot cells? Have you reviewed over any ESD issues with ESD team? </t>
    <phoneticPr fontId="1" type="noConversion"/>
  </si>
  <si>
    <t>.
- Please share the PPT about figures of IP's integration with details.</t>
    <phoneticPr fontId="1" type="noConversion"/>
  </si>
  <si>
    <t>RDL connection</t>
    <phoneticPr fontId="1" type="noConversion"/>
  </si>
  <si>
    <t>Is Power/Ground RDL properly connected to IP's top metal Power/Ground mesh? Please refer to Userguide 1.4.1 for RDL drawing.</t>
    <phoneticPr fontId="1" type="noConversion"/>
  </si>
  <si>
    <t xml:space="preserve">In order to prevent CDM damage between IP power supplies and SoC power supplies, back-to-back diodes are inserted in the PHY. The "vss_cdm" ports on rs_dcphy3300_ln08lpu should be strongly connected to SoC grounds net using thick metal and sufficient VIAs.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</si>
</sst>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ajor"/>
    </font>
    <font>
      <sz val="11"/>
      <color theme="1"/>
      <name val="맑은 고딕"/>
      <family val="3"/>
      <charset val="129"/>
      <scheme val="major"/>
    </font>
    <font>
      <b/>
      <sz val="11"/>
      <color rgb="FFFF0000"/>
      <name val="맑은 고딕"/>
      <family val="3"/>
      <charset val="129"/>
      <scheme val="major"/>
    </font>
    <font>
      <sz val="9"/>
      <color theme="1"/>
      <name val="맑은 고딕"/>
      <family val="3"/>
      <charset val="129"/>
      <scheme val="major"/>
    </font>
    <font>
      <b/>
      <u/>
      <sz val="16"/>
      <color theme="1"/>
      <name val="맑은 고딕"/>
      <family val="3"/>
      <charset val="129"/>
      <scheme val="major"/>
    </font>
    <font>
      <b/>
      <sz val="10"/>
      <color theme="1"/>
      <name val="맑은 고딕"/>
      <family val="3"/>
      <charset val="129"/>
      <scheme val="major"/>
    </font>
    <font>
      <sz val="10"/>
      <color theme="1"/>
      <name val="맑은 고딕"/>
      <family val="3"/>
      <charset val="129"/>
      <scheme val="major"/>
    </font>
    <font>
      <sz val="12"/>
      <color theme="1"/>
      <name val="맑은 고딕"/>
      <family val="2"/>
      <charset val="129"/>
      <scheme val="minor"/>
    </font>
    <font>
      <b/>
      <sz val="16"/>
      <color theme="0" tint="-0.499984740745262"/>
      <name val="맑은 고딕"/>
      <family val="3"/>
      <charset val="129"/>
      <scheme val="major"/>
    </font>
    <font>
      <sz val="11"/>
      <color theme="1"/>
      <name val="맑은 고딕"/>
      <family val="2"/>
      <charset val="129"/>
      <scheme val="minor"/>
    </font>
    <font>
      <b/>
      <sz val="10"/>
      <color rgb="FFFF0000"/>
      <name val="맑은 고딕"/>
      <family val="3"/>
      <charset val="129"/>
      <scheme val="major"/>
    </font>
    <font>
      <b/>
      <sz val="10"/>
      <color theme="0"/>
      <name val="맑은 고딕"/>
      <family val="3"/>
      <charset val="129"/>
      <scheme val="minor"/>
    </font>
    <font>
      <b/>
      <sz val="10"/>
      <color theme="1"/>
      <name val="맑은 고딕"/>
      <family val="3"/>
      <charset val="129"/>
      <scheme val="minor"/>
    </font>
    <font>
      <sz val="9"/>
      <color theme="1"/>
      <name val="맑은 고딕"/>
      <family val="3"/>
      <charset val="129"/>
      <scheme val="minor"/>
    </font>
    <font>
      <sz val="11"/>
      <color theme="1"/>
      <name val="맑은 고딕"/>
      <family val="3"/>
      <charset val="129"/>
      <scheme val="minor"/>
    </font>
    <font>
      <b/>
      <sz val="11"/>
      <color theme="0"/>
      <name val="맑은 고딕"/>
      <family val="3"/>
      <charset val="129"/>
      <scheme val="minor"/>
    </font>
    <font>
      <sz val="11"/>
      <name val="돋움"/>
      <family val="3"/>
      <charset val="129"/>
    </font>
    <font>
      <b/>
      <sz val="10"/>
      <color theme="0"/>
      <name val="맑은 고딕"/>
      <family val="3"/>
      <charset val="129"/>
      <scheme val="major"/>
    </font>
    <font>
      <b/>
      <sz val="20"/>
      <color theme="1"/>
      <name val="맑은 고딕"/>
      <family val="3"/>
      <charset val="129"/>
      <scheme val="major"/>
    </font>
    <font>
      <sz val="11"/>
      <color theme="1"/>
      <name val="맑은 고딕"/>
      <family val="2"/>
      <scheme val="minor"/>
    </font>
    <font>
      <b/>
      <sz val="22"/>
      <color theme="0"/>
      <name val="맑은 고딕"/>
      <family val="3"/>
      <charset val="129"/>
      <scheme val="minor"/>
    </font>
    <font>
      <b/>
      <sz val="11"/>
      <color theme="1"/>
      <name val="맑은 고딕"/>
      <family val="3"/>
      <charset val="129"/>
      <scheme val="minor"/>
    </font>
    <font>
      <sz val="10"/>
      <name val="Arial"/>
      <family val="2"/>
    </font>
    <font>
      <u/>
      <sz val="9.35"/>
      <color theme="10"/>
      <name val="돋움"/>
      <family val="3"/>
      <charset val="129"/>
    </font>
    <font>
      <u/>
      <sz val="11"/>
      <color theme="10"/>
      <name val="맑은 고딕"/>
      <family val="2"/>
      <charset val="129"/>
      <scheme val="minor"/>
    </font>
    <font>
      <u/>
      <sz val="11"/>
      <color theme="10"/>
      <name val="맑은 고딕"/>
      <family val="2"/>
      <charset val="1"/>
    </font>
    <font>
      <sz val="11"/>
      <color rgb="FF000000"/>
      <name val="맑은 고딕"/>
      <family val="2"/>
      <charset val="1"/>
    </font>
    <font>
      <b/>
      <sz val="11"/>
      <color rgb="FFFFFFFF"/>
      <name val="맑은 고딕"/>
      <family val="2"/>
      <charset val="1"/>
    </font>
    <font>
      <sz val="11"/>
      <color rgb="FF000000"/>
      <name val="Arial"/>
      <family val="2"/>
      <charset val="1"/>
    </font>
  </fonts>
  <fills count="19">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4" tint="-0.499984740745262"/>
        <bgColor indexed="64"/>
      </patternFill>
    </fill>
    <fill>
      <patternFill patternType="solid">
        <fgColor theme="8" tint="0.79998168889431442"/>
        <bgColor indexed="64"/>
      </patternFill>
    </fill>
    <fill>
      <patternFill patternType="solid">
        <fgColor rgb="FFA5A5A5"/>
      </patternFill>
    </fill>
    <fill>
      <patternFill patternType="solid">
        <fgColor rgb="FFFFC000"/>
        <bgColor indexed="64"/>
      </patternFill>
    </fill>
    <fill>
      <patternFill patternType="solid">
        <fgColor rgb="FF92D050"/>
        <bgColor indexed="64"/>
      </patternFill>
    </fill>
    <fill>
      <patternFill patternType="solid">
        <fgColor theme="0" tint="-4.9989318521683403E-2"/>
        <bgColor indexed="64"/>
      </patternFill>
    </fill>
    <fill>
      <patternFill patternType="solid">
        <fgColor theme="9" tint="-0.499984740745262"/>
        <bgColor indexed="64"/>
      </patternFill>
    </fill>
    <fill>
      <patternFill patternType="solid">
        <fgColor theme="4" tint="-0.249977111117893"/>
        <bgColor indexed="64"/>
      </patternFill>
    </fill>
    <fill>
      <patternFill patternType="solid">
        <fgColor rgb="FFA5A5A5"/>
        <bgColor rgb="FFC0C0C0"/>
      </patternFill>
    </fill>
    <fill>
      <patternFill patternType="solid">
        <fgColor theme="9" tint="0.79998168889431442"/>
        <bgColor indexed="64"/>
      </patternFill>
    </fill>
    <fill>
      <patternFill patternType="solid">
        <fgColor theme="9" tint="0.79998168889431442"/>
        <bgColor rgb="FFFFFFCC"/>
      </patternFill>
    </fill>
    <fill>
      <patternFill patternType="solid">
        <fgColor rgb="FFFFFFFF"/>
        <bgColor rgb="FFFFFFCC"/>
      </patternFill>
    </fill>
  </fills>
  <borders count="34">
    <border>
      <left/>
      <right/>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theme="1"/>
      </left>
      <right style="thin">
        <color theme="1"/>
      </right>
      <top style="thin">
        <color theme="1"/>
      </top>
      <bottom/>
      <diagonal/>
    </border>
    <border>
      <left/>
      <right style="thin">
        <color theme="1"/>
      </right>
      <top style="thin">
        <color theme="1"/>
      </top>
      <bottom style="thin">
        <color theme="1"/>
      </bottom>
      <diagonal/>
    </border>
    <border>
      <left style="double">
        <color rgb="FF3F3F3F"/>
      </left>
      <right style="double">
        <color rgb="FF3F3F3F"/>
      </right>
      <top style="double">
        <color rgb="FF3F3F3F"/>
      </top>
      <bottom style="double">
        <color rgb="FF3F3F3F"/>
      </bottom>
      <diagonal/>
    </border>
    <border>
      <left/>
      <right style="thin">
        <color theme="1"/>
      </right>
      <top style="medium">
        <color indexed="64"/>
      </top>
      <bottom style="thin">
        <color theme="1"/>
      </bottom>
      <diagonal/>
    </border>
    <border>
      <left style="thin">
        <color theme="1"/>
      </left>
      <right/>
      <top style="medium">
        <color indexed="64"/>
      </top>
      <bottom style="thin">
        <color theme="1"/>
      </bottom>
      <diagonal/>
    </border>
    <border>
      <left style="thin">
        <color theme="1"/>
      </left>
      <right style="thin">
        <color theme="1"/>
      </right>
      <top style="medium">
        <color indexed="64"/>
      </top>
      <bottom style="thin">
        <color theme="1"/>
      </bottom>
      <diagonal/>
    </border>
    <border>
      <left style="medium">
        <color indexed="64"/>
      </left>
      <right style="thin">
        <color theme="1"/>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style="thin">
        <color theme="1"/>
      </right>
      <top style="thin">
        <color theme="1"/>
      </top>
      <bottom style="medium">
        <color indexed="64"/>
      </bottom>
      <diagonal/>
    </border>
    <border>
      <left style="thin">
        <color theme="1"/>
      </left>
      <right/>
      <top style="thin">
        <color theme="1"/>
      </top>
      <bottom style="medium">
        <color indexed="64"/>
      </bottom>
      <diagonal/>
    </border>
    <border>
      <left/>
      <right style="thin">
        <color theme="1"/>
      </right>
      <top style="thin">
        <color theme="1"/>
      </top>
      <bottom style="medium">
        <color indexed="64"/>
      </bottom>
      <diagonal/>
    </border>
    <border>
      <left style="thin">
        <color theme="1"/>
      </left>
      <right style="thin">
        <color theme="1"/>
      </right>
      <top style="thin">
        <color theme="1"/>
      </top>
      <bottom style="medium">
        <color indexed="64"/>
      </bottom>
      <diagonal/>
    </border>
    <border>
      <left/>
      <right style="medium">
        <color indexed="64"/>
      </right>
      <top style="thin">
        <color theme="1"/>
      </top>
      <bottom style="medium">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04">
    <xf numFmtId="0" fontId="0" fillId="0" borderId="0">
      <alignment vertical="center"/>
    </xf>
    <xf numFmtId="0" fontId="9" fillId="0" borderId="0">
      <alignment vertical="center"/>
    </xf>
    <xf numFmtId="9" fontId="11" fillId="0" borderId="0" applyFont="0" applyFill="0" applyBorder="0" applyAlignment="0" applyProtection="0">
      <alignment vertical="center"/>
    </xf>
    <xf numFmtId="0" fontId="11" fillId="0" borderId="0">
      <alignment vertical="center"/>
    </xf>
    <xf numFmtId="0" fontId="18" fillId="0" borderId="0">
      <alignment vertical="center"/>
    </xf>
    <xf numFmtId="0" fontId="16" fillId="0" borderId="0">
      <alignment vertical="center"/>
    </xf>
    <xf numFmtId="0" fontId="16" fillId="0" borderId="0">
      <alignment vertical="center"/>
    </xf>
    <xf numFmtId="0" fontId="16" fillId="0" borderId="0">
      <alignment vertical="center"/>
    </xf>
    <xf numFmtId="0" fontId="17" fillId="9" borderId="5" applyNumberFormat="0" applyAlignment="0" applyProtection="0">
      <alignment vertical="center"/>
    </xf>
    <xf numFmtId="0" fontId="11" fillId="0" borderId="0">
      <alignment vertical="center"/>
    </xf>
    <xf numFmtId="0" fontId="18" fillId="0" borderId="0">
      <alignment vertical="center"/>
    </xf>
    <xf numFmtId="0" fontId="16" fillId="0" borderId="0">
      <alignment vertical="center"/>
    </xf>
    <xf numFmtId="9" fontId="18" fillId="0" borderId="0" applyFont="0" applyFill="0" applyBorder="0" applyAlignment="0" applyProtection="0">
      <alignment vertical="center"/>
    </xf>
    <xf numFmtId="0" fontId="11" fillId="0" borderId="0">
      <alignment vertical="center"/>
    </xf>
    <xf numFmtId="0" fontId="21" fillId="0" borderId="0"/>
    <xf numFmtId="0" fontId="24" fillId="0" borderId="0"/>
    <xf numFmtId="0" fontId="24" fillId="0" borderId="0"/>
    <xf numFmtId="0" fontId="11" fillId="0" borderId="0">
      <alignment vertical="center"/>
    </xf>
    <xf numFmtId="0" fontId="11" fillId="0" borderId="0">
      <alignment vertical="center"/>
    </xf>
    <xf numFmtId="0" fontId="16" fillId="0" borderId="0">
      <alignment vertical="center"/>
    </xf>
    <xf numFmtId="0" fontId="11" fillId="0" borderId="0">
      <alignment vertical="center"/>
    </xf>
    <xf numFmtId="0" fontId="11" fillId="0" borderId="0">
      <alignment vertical="center"/>
    </xf>
    <xf numFmtId="0" fontId="16" fillId="0" borderId="0">
      <alignment vertical="center"/>
    </xf>
    <xf numFmtId="0" fontId="25" fillId="0" borderId="0" applyNumberFormat="0" applyFill="0" applyBorder="0" applyAlignment="0" applyProtection="0">
      <alignment vertical="top"/>
      <protection locked="0"/>
    </xf>
    <xf numFmtId="0" fontId="18" fillId="0" borderId="0">
      <alignment vertical="center"/>
    </xf>
    <xf numFmtId="0" fontId="21" fillId="0" borderId="0"/>
    <xf numFmtId="0" fontId="21" fillId="0" borderId="0"/>
    <xf numFmtId="0" fontId="21"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26" fillId="0" borderId="0" applyNumberFormat="0" applyFill="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21" fillId="0" borderId="0"/>
    <xf numFmtId="0" fontId="11" fillId="0" borderId="0">
      <alignment vertical="center"/>
    </xf>
    <xf numFmtId="0" fontId="21" fillId="0" borderId="0"/>
    <xf numFmtId="0" fontId="11" fillId="0" borderId="0">
      <alignment vertical="center"/>
    </xf>
    <xf numFmtId="0" fontId="21" fillId="0" borderId="0"/>
    <xf numFmtId="0" fontId="21" fillId="0" borderId="0"/>
    <xf numFmtId="0" fontId="11" fillId="0" borderId="0">
      <alignment vertical="center"/>
    </xf>
    <xf numFmtId="0" fontId="27" fillId="0" borderId="0" applyNumberFormat="0" applyFill="0" applyBorder="0" applyAlignment="0" applyProtection="0">
      <alignment vertical="center"/>
    </xf>
    <xf numFmtId="0" fontId="28" fillId="0" borderId="0">
      <alignment vertical="center"/>
    </xf>
    <xf numFmtId="0" fontId="29" fillId="15" borderId="5" applyProtection="0">
      <alignment vertical="center"/>
    </xf>
    <xf numFmtId="0" fontId="26" fillId="0" borderId="0" applyNumberFormat="0" applyFill="0" applyBorder="0" applyAlignment="0" applyProtection="0">
      <alignment vertical="center"/>
    </xf>
  </cellStyleXfs>
  <cellXfs count="137">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8" fillId="0" borderId="0" xfId="0" applyFont="1">
      <alignment vertical="center"/>
    </xf>
    <xf numFmtId="0" fontId="10" fillId="0" borderId="0" xfId="0" applyFont="1">
      <alignment vertical="center"/>
    </xf>
    <xf numFmtId="0" fontId="7" fillId="0" borderId="0" xfId="0" applyFont="1" applyAlignment="1">
      <alignment horizontal="left" vertical="center"/>
    </xf>
    <xf numFmtId="0" fontId="7" fillId="0" borderId="0" xfId="0" applyFont="1">
      <alignment vertical="center"/>
    </xf>
    <xf numFmtId="0" fontId="3" fillId="0" borderId="0" xfId="0" applyFont="1" applyAlignment="1">
      <alignment horizontal="center" vertical="center"/>
    </xf>
    <xf numFmtId="0" fontId="7" fillId="4" borderId="0" xfId="0" applyFont="1" applyFill="1">
      <alignment vertical="center"/>
    </xf>
    <xf numFmtId="0" fontId="14" fillId="4" borderId="0" xfId="0" applyFont="1" applyFill="1" applyAlignment="1" applyProtection="1">
      <alignment horizontal="center" vertical="center"/>
      <protection locked="0"/>
    </xf>
    <xf numFmtId="0" fontId="7" fillId="3" borderId="1" xfId="0" applyFont="1" applyFill="1" applyBorder="1" applyAlignment="1">
      <alignment horizontal="center" vertical="center"/>
    </xf>
    <xf numFmtId="0" fontId="7" fillId="3" borderId="3" xfId="0" applyFont="1" applyFill="1" applyBorder="1" applyAlignment="1">
      <alignment horizontal="center" vertical="center"/>
    </xf>
    <xf numFmtId="9" fontId="3" fillId="0" borderId="0" xfId="0" applyNumberFormat="1" applyFont="1">
      <alignment vertical="center"/>
    </xf>
    <xf numFmtId="0" fontId="7" fillId="3" borderId="8" xfId="0" applyFont="1" applyFill="1" applyBorder="1" applyAlignment="1">
      <alignment horizontal="center" vertical="center"/>
    </xf>
    <xf numFmtId="9" fontId="7" fillId="3" borderId="9" xfId="0" applyNumberFormat="1" applyFont="1" applyFill="1" applyBorder="1" applyAlignment="1">
      <alignment horizontal="center" vertical="center"/>
    </xf>
    <xf numFmtId="0" fontId="7" fillId="3" borderId="11" xfId="0" applyFont="1" applyFill="1" applyBorder="1" applyAlignment="1">
      <alignment horizontal="center" vertical="center"/>
    </xf>
    <xf numFmtId="0" fontId="7" fillId="3" borderId="14" xfId="0" applyFont="1" applyFill="1" applyBorder="1" applyAlignment="1">
      <alignment horizontal="center" vertical="center"/>
    </xf>
    <xf numFmtId="0" fontId="7" fillId="2" borderId="18" xfId="0" applyFont="1" applyFill="1" applyBorder="1" applyAlignment="1">
      <alignment horizontal="center" vertical="center" wrapText="1"/>
    </xf>
    <xf numFmtId="0" fontId="7" fillId="12" borderId="18" xfId="0" applyFont="1" applyFill="1" applyBorder="1" applyAlignment="1">
      <alignment vertical="center" wrapText="1"/>
    </xf>
    <xf numFmtId="0" fontId="7" fillId="5" borderId="18" xfId="0" applyFont="1" applyFill="1" applyBorder="1" applyAlignment="1">
      <alignment vertical="center" wrapText="1"/>
    </xf>
    <xf numFmtId="0" fontId="5" fillId="0" borderId="18" xfId="0" applyFont="1" applyBorder="1" applyAlignment="1">
      <alignment vertical="center" wrapText="1"/>
    </xf>
    <xf numFmtId="0" fontId="7" fillId="0" borderId="18" xfId="0" applyFont="1" applyBorder="1" applyAlignment="1">
      <alignment horizontal="center" vertical="center"/>
    </xf>
    <xf numFmtId="0" fontId="5" fillId="8" borderId="18" xfId="0" applyFont="1" applyFill="1" applyBorder="1" applyAlignment="1">
      <alignment horizontal="center" vertical="center"/>
    </xf>
    <xf numFmtId="0" fontId="7" fillId="12" borderId="18" xfId="0" applyFont="1" applyFill="1" applyBorder="1" applyAlignment="1">
      <alignment horizontal="center" vertical="center"/>
    </xf>
    <xf numFmtId="0" fontId="7" fillId="8" borderId="18" xfId="0" applyFont="1" applyFill="1" applyBorder="1" applyAlignment="1">
      <alignment horizontal="left" vertical="center"/>
    </xf>
    <xf numFmtId="0" fontId="5" fillId="0" borderId="18" xfId="0" applyFont="1" applyBorder="1" applyAlignment="1">
      <alignment horizontal="left" vertical="center" wrapText="1"/>
    </xf>
    <xf numFmtId="0" fontId="5" fillId="0" borderId="18" xfId="0" applyFont="1" applyBorder="1" applyAlignment="1">
      <alignment horizontal="left" vertical="center"/>
    </xf>
    <xf numFmtId="0" fontId="7" fillId="8" borderId="18" xfId="0" applyFont="1" applyFill="1" applyBorder="1" applyAlignment="1">
      <alignment horizontal="left" vertical="center" wrapText="1"/>
    </xf>
    <xf numFmtId="0" fontId="3" fillId="8" borderId="18" xfId="0" applyFont="1" applyFill="1" applyBorder="1" applyAlignment="1">
      <alignment horizontal="center" vertical="center"/>
    </xf>
    <xf numFmtId="0" fontId="3" fillId="8" borderId="18" xfId="0" applyFont="1" applyFill="1" applyBorder="1">
      <alignment vertical="center"/>
    </xf>
    <xf numFmtId="0" fontId="7" fillId="10" borderId="18" xfId="0" applyFont="1" applyFill="1" applyBorder="1" applyAlignment="1">
      <alignment horizontal="left" vertical="center"/>
    </xf>
    <xf numFmtId="0" fontId="7" fillId="10" borderId="18" xfId="0" applyFont="1" applyFill="1" applyBorder="1" applyAlignment="1">
      <alignment horizontal="left" vertical="center" wrapText="1"/>
    </xf>
    <xf numFmtId="0" fontId="7" fillId="11" borderId="18" xfId="0" applyFont="1" applyFill="1" applyBorder="1">
      <alignment vertical="center"/>
    </xf>
    <xf numFmtId="0" fontId="7" fillId="11" borderId="18" xfId="0" applyFont="1" applyFill="1" applyBorder="1" applyAlignment="1">
      <alignment horizontal="left" vertical="center"/>
    </xf>
    <xf numFmtId="0" fontId="7" fillId="11" borderId="18" xfId="0" applyFont="1" applyFill="1" applyBorder="1" applyAlignment="1">
      <alignment horizontal="left" vertical="center" wrapText="1"/>
    </xf>
    <xf numFmtId="0" fontId="5" fillId="0" borderId="18" xfId="0" applyFont="1" applyBorder="1">
      <alignment vertical="center"/>
    </xf>
    <xf numFmtId="0" fontId="7" fillId="5" borderId="18" xfId="0" applyFont="1" applyFill="1" applyBorder="1">
      <alignment vertical="center"/>
    </xf>
    <xf numFmtId="0" fontId="14" fillId="0" borderId="0" xfId="0" applyFont="1" applyAlignment="1" applyProtection="1">
      <alignment horizontal="center" vertical="center"/>
      <protection locked="0"/>
    </xf>
    <xf numFmtId="0" fontId="7" fillId="2" borderId="18" xfId="0" applyFont="1" applyFill="1" applyBorder="1">
      <alignment vertical="center"/>
    </xf>
    <xf numFmtId="9" fontId="7" fillId="0" borderId="25" xfId="2" applyFont="1" applyFill="1" applyBorder="1" applyAlignment="1">
      <alignment horizontal="center" vertical="center"/>
    </xf>
    <xf numFmtId="0" fontId="7" fillId="0" borderId="25" xfId="0" applyFont="1" applyBorder="1" applyAlignment="1">
      <alignment horizontal="center" vertical="center"/>
    </xf>
    <xf numFmtId="0" fontId="23" fillId="0" borderId="0" xfId="0" applyFont="1">
      <alignment vertical="center"/>
    </xf>
    <xf numFmtId="0" fontId="5" fillId="8" borderId="18" xfId="0" applyFont="1" applyFill="1" applyBorder="1" applyAlignment="1">
      <alignment horizontal="center" vertical="center" wrapText="1"/>
    </xf>
    <xf numFmtId="0" fontId="5" fillId="8" borderId="18" xfId="0" applyFont="1" applyFill="1" applyBorder="1" applyAlignment="1">
      <alignment horizontal="center" vertical="top" wrapText="1"/>
    </xf>
    <xf numFmtId="0" fontId="0" fillId="0" borderId="0" xfId="0" quotePrefix="1">
      <alignment vertical="center"/>
    </xf>
    <xf numFmtId="0" fontId="29" fillId="15" borderId="27" xfId="102" applyBorder="1" applyAlignment="1" applyProtection="1">
      <alignment horizontal="center" vertical="center" wrapText="1"/>
    </xf>
    <xf numFmtId="0" fontId="26" fillId="8" borderId="18" xfId="103" applyFill="1" applyBorder="1" applyAlignment="1">
      <alignment horizontal="center" vertical="center" wrapText="1"/>
    </xf>
    <xf numFmtId="0" fontId="26" fillId="8" borderId="18" xfId="103" applyFill="1" applyBorder="1" applyAlignment="1">
      <alignment horizontal="center" vertical="top" wrapText="1"/>
    </xf>
    <xf numFmtId="0" fontId="29" fillId="15" borderId="26" xfId="102" applyBorder="1" applyAlignment="1" applyProtection="1">
      <alignment horizontal="center" vertical="center"/>
    </xf>
    <xf numFmtId="0" fontId="23" fillId="0" borderId="0" xfId="0" quotePrefix="1" applyFont="1">
      <alignment vertical="center"/>
    </xf>
    <xf numFmtId="0" fontId="26" fillId="8" borderId="18" xfId="103" applyFill="1" applyBorder="1" applyAlignment="1">
      <alignment horizontal="center" vertical="center"/>
    </xf>
    <xf numFmtId="0" fontId="29" fillId="15" borderId="28" xfId="102" applyBorder="1" applyAlignment="1" applyProtection="1">
      <alignment horizontal="center" vertical="center" wrapText="1"/>
    </xf>
    <xf numFmtId="14" fontId="5" fillId="8" borderId="18" xfId="0" applyNumberFormat="1" applyFont="1" applyFill="1" applyBorder="1" applyAlignment="1">
      <alignment horizontal="center" vertical="center"/>
    </xf>
    <xf numFmtId="0" fontId="5" fillId="8" borderId="18" xfId="0" applyFont="1" applyFill="1" applyBorder="1" applyAlignment="1">
      <alignment horizontal="left" vertical="center" wrapText="1"/>
    </xf>
    <xf numFmtId="0" fontId="5" fillId="8" borderId="18" xfId="0" applyFont="1" applyFill="1" applyBorder="1" applyAlignment="1">
      <alignment horizontal="left" vertical="center"/>
    </xf>
    <xf numFmtId="14" fontId="3" fillId="8" borderId="18" xfId="0" applyNumberFormat="1" applyFont="1" applyFill="1" applyBorder="1" applyAlignment="1">
      <alignment horizontal="center" vertical="center"/>
    </xf>
    <xf numFmtId="0" fontId="5" fillId="8" borderId="18" xfId="0" quotePrefix="1" applyFont="1" applyFill="1" applyBorder="1" applyAlignment="1">
      <alignment horizontal="left" vertical="center" wrapText="1"/>
    </xf>
    <xf numFmtId="0" fontId="5" fillId="8" borderId="18" xfId="0" quotePrefix="1" applyFont="1" applyFill="1" applyBorder="1" applyAlignment="1">
      <alignment horizontal="left" vertical="center"/>
    </xf>
    <xf numFmtId="0" fontId="5" fillId="8" borderId="18" xfId="0" applyFont="1" applyFill="1" applyBorder="1" applyAlignment="1">
      <alignment horizontal="left" vertical="top" wrapText="1"/>
    </xf>
    <xf numFmtId="0" fontId="5" fillId="8" borderId="18" xfId="0" quotePrefix="1" applyFont="1" applyFill="1" applyBorder="1" applyAlignment="1">
      <alignment horizontal="center" vertical="center"/>
    </xf>
    <xf numFmtId="0" fontId="5" fillId="8" borderId="18" xfId="0" applyFont="1" applyFill="1" applyBorder="1">
      <alignment vertical="center"/>
    </xf>
    <xf numFmtId="0" fontId="7" fillId="0" borderId="18" xfId="0" applyFont="1" applyBorder="1" applyAlignment="1">
      <alignment horizontal="center" vertical="center"/>
    </xf>
    <xf numFmtId="14" fontId="7" fillId="0" borderId="18" xfId="0" applyNumberFormat="1" applyFont="1" applyBorder="1" applyAlignment="1">
      <alignment horizontal="center" vertical="center"/>
    </xf>
    <xf numFmtId="0" fontId="7" fillId="12" borderId="18" xfId="0" applyFont="1" applyFill="1" applyBorder="1" applyAlignment="1">
      <alignment horizontal="center" vertical="center"/>
    </xf>
    <xf numFmtId="0" fontId="7" fillId="12" borderId="18" xfId="0" applyFont="1" applyFill="1" applyBorder="1" applyAlignment="1">
      <alignment horizontal="center" vertical="center" wrapText="1"/>
    </xf>
    <xf numFmtId="9" fontId="7" fillId="0" borderId="7" xfId="2" applyFont="1" applyFill="1" applyBorder="1" applyAlignment="1">
      <alignment horizontal="center" vertical="center"/>
    </xf>
    <xf numFmtId="9" fontId="7" fillId="0" borderId="10" xfId="2" applyFont="1" applyFill="1" applyBorder="1" applyAlignment="1">
      <alignment horizontal="center" vertical="center"/>
    </xf>
    <xf numFmtId="9" fontId="7" fillId="0" borderId="12" xfId="2" applyFont="1" applyFill="1" applyBorder="1" applyAlignment="1">
      <alignment horizontal="center" vertical="center"/>
    </xf>
    <xf numFmtId="9" fontId="7" fillId="0" borderId="15" xfId="2" applyFont="1" applyFill="1" applyBorder="1" applyAlignment="1">
      <alignment horizontal="center" vertical="center"/>
    </xf>
    <xf numFmtId="9" fontId="7" fillId="0" borderId="13" xfId="2" applyFont="1" applyFill="1" applyBorder="1" applyAlignment="1">
      <alignment horizontal="center" vertical="center"/>
    </xf>
    <xf numFmtId="0" fontId="5" fillId="4" borderId="18" xfId="0" applyFont="1" applyFill="1" applyBorder="1" applyAlignment="1">
      <alignment horizontal="left" vertical="center" wrapText="1"/>
    </xf>
    <xf numFmtId="0" fontId="5" fillId="4" borderId="18" xfId="0" applyFont="1" applyFill="1" applyBorder="1" applyAlignment="1">
      <alignment horizontal="left" vertical="center"/>
    </xf>
    <xf numFmtId="0" fontId="15" fillId="4" borderId="18" xfId="0" applyFont="1" applyFill="1" applyBorder="1" applyAlignment="1">
      <alignment horizontal="left" vertical="center" wrapText="1"/>
    </xf>
    <xf numFmtId="0" fontId="15" fillId="4" borderId="18" xfId="0" applyFont="1" applyFill="1" applyBorder="1" applyAlignment="1">
      <alignment horizontal="left" vertical="center"/>
    </xf>
    <xf numFmtId="0" fontId="7" fillId="2" borderId="18" xfId="0" applyFont="1" applyFill="1" applyBorder="1" applyAlignment="1">
      <alignment horizontal="center" vertical="center"/>
    </xf>
    <xf numFmtId="9" fontId="20" fillId="10" borderId="22" xfId="2" applyFont="1" applyFill="1" applyBorder="1" applyAlignment="1">
      <alignment horizontal="center" vertical="center"/>
    </xf>
    <xf numFmtId="9" fontId="20" fillId="10" borderId="17" xfId="2" applyFont="1" applyFill="1" applyBorder="1" applyAlignment="1">
      <alignment horizontal="center" vertical="center"/>
    </xf>
    <xf numFmtId="9" fontId="20" fillId="10" borderId="23" xfId="2" applyFont="1" applyFill="1" applyBorder="1" applyAlignment="1">
      <alignment horizontal="center" vertical="center"/>
    </xf>
    <xf numFmtId="9" fontId="20" fillId="10" borderId="20" xfId="2" applyFont="1" applyFill="1" applyBorder="1" applyAlignment="1">
      <alignment horizontal="center" vertical="center"/>
    </xf>
    <xf numFmtId="9" fontId="20" fillId="10" borderId="24" xfId="2" applyFont="1" applyFill="1" applyBorder="1" applyAlignment="1">
      <alignment horizontal="center" vertical="center"/>
    </xf>
    <xf numFmtId="9" fontId="20" fillId="10" borderId="21" xfId="2" applyFont="1" applyFill="1" applyBorder="1" applyAlignment="1">
      <alignment horizontal="center" vertical="center"/>
    </xf>
    <xf numFmtId="0" fontId="7" fillId="0" borderId="1" xfId="0" applyFont="1" applyBorder="1" applyAlignment="1">
      <alignment horizontal="center" vertical="center"/>
    </xf>
    <xf numFmtId="0" fontId="12" fillId="0" borderId="1" xfId="0" applyFont="1" applyBorder="1" applyAlignment="1">
      <alignment horizontal="center" vertical="center"/>
    </xf>
    <xf numFmtId="0" fontId="7" fillId="0" borderId="3" xfId="0" applyFont="1" applyBorder="1" applyAlignment="1">
      <alignment horizontal="center" vertical="center"/>
    </xf>
    <xf numFmtId="0" fontId="19" fillId="13" borderId="3" xfId="0" applyFont="1" applyFill="1" applyBorder="1" applyAlignment="1">
      <alignment horizontal="left" vertical="center"/>
    </xf>
    <xf numFmtId="0" fontId="19" fillId="13" borderId="1" xfId="0" applyFont="1" applyFill="1" applyBorder="1" applyAlignment="1">
      <alignment horizontal="center" vertical="center"/>
    </xf>
    <xf numFmtId="0" fontId="5" fillId="0" borderId="18" xfId="0" quotePrefix="1" applyFont="1" applyBorder="1" applyAlignment="1">
      <alignment horizontal="left" vertical="center" wrapText="1"/>
    </xf>
    <xf numFmtId="0" fontId="5" fillId="0" borderId="18" xfId="0" applyFont="1" applyBorder="1" applyAlignment="1">
      <alignment horizontal="left" vertical="center" wrapText="1"/>
    </xf>
    <xf numFmtId="0" fontId="5" fillId="0" borderId="18" xfId="0" applyFont="1" applyBorder="1" applyAlignment="1">
      <alignment horizontal="left" vertical="center"/>
    </xf>
    <xf numFmtId="0" fontId="5" fillId="4" borderId="18" xfId="0" quotePrefix="1" applyFont="1" applyFill="1" applyBorder="1" applyAlignment="1">
      <alignment horizontal="left" vertical="center" wrapText="1"/>
    </xf>
    <xf numFmtId="0" fontId="13" fillId="7" borderId="4" xfId="0" applyFont="1" applyFill="1" applyBorder="1" applyAlignment="1" applyProtection="1">
      <alignment horizontal="center" vertical="center"/>
      <protection locked="0"/>
    </xf>
    <xf numFmtId="0" fontId="13" fillId="7" borderId="1" xfId="0" applyFont="1" applyFill="1" applyBorder="1" applyAlignment="1" applyProtection="1">
      <alignment horizontal="center" vertical="center"/>
      <protection locked="0"/>
    </xf>
    <xf numFmtId="0" fontId="13" fillId="7" borderId="2" xfId="0" applyFont="1" applyFill="1" applyBorder="1" applyAlignment="1" applyProtection="1">
      <alignment horizontal="center" vertical="center"/>
      <protection locked="0"/>
    </xf>
    <xf numFmtId="0" fontId="14" fillId="5" borderId="4" xfId="0" applyFont="1" applyFill="1" applyBorder="1" applyAlignment="1" applyProtection="1">
      <alignment horizontal="center" vertical="center"/>
      <protection locked="0"/>
    </xf>
    <xf numFmtId="0" fontId="14" fillId="5" borderId="1" xfId="0" applyFont="1" applyFill="1" applyBorder="1" applyAlignment="1" applyProtection="1">
      <alignment horizontal="center" vertical="center"/>
      <protection locked="0"/>
    </xf>
    <xf numFmtId="0" fontId="14" fillId="5" borderId="2" xfId="0" applyFont="1" applyFill="1" applyBorder="1" applyAlignment="1" applyProtection="1">
      <alignment horizontal="center" vertical="center"/>
      <protection locked="0"/>
    </xf>
    <xf numFmtId="0" fontId="14" fillId="8" borderId="4" xfId="0" applyFont="1" applyFill="1" applyBorder="1" applyAlignment="1" applyProtection="1">
      <alignment horizontal="center" vertical="center"/>
      <protection locked="0"/>
    </xf>
    <xf numFmtId="0" fontId="14" fillId="8" borderId="1" xfId="0" applyFont="1" applyFill="1" applyBorder="1" applyAlignment="1" applyProtection="1">
      <alignment horizontal="center" vertical="center"/>
      <protection locked="0"/>
    </xf>
    <xf numFmtId="0" fontId="14" fillId="8" borderId="2" xfId="0" applyFont="1" applyFill="1" applyBorder="1" applyAlignment="1" applyProtection="1">
      <alignment horizontal="center" vertical="center"/>
      <protection locked="0"/>
    </xf>
    <xf numFmtId="0" fontId="14" fillId="11" borderId="4" xfId="0" applyFont="1" applyFill="1" applyBorder="1" applyAlignment="1" applyProtection="1">
      <alignment horizontal="center" vertical="center"/>
      <protection locked="0"/>
    </xf>
    <xf numFmtId="0" fontId="14" fillId="11" borderId="1" xfId="0" applyFont="1" applyFill="1" applyBorder="1" applyAlignment="1" applyProtection="1">
      <alignment horizontal="center" vertical="center"/>
      <protection locked="0"/>
    </xf>
    <xf numFmtId="0" fontId="14" fillId="11" borderId="2" xfId="0" applyFont="1" applyFill="1" applyBorder="1" applyAlignment="1" applyProtection="1">
      <alignment horizontal="center" vertical="center"/>
      <protection locked="0"/>
    </xf>
    <xf numFmtId="0" fontId="14" fillId="10" borderId="4" xfId="0" applyFont="1" applyFill="1" applyBorder="1" applyAlignment="1" applyProtection="1">
      <alignment horizontal="center" vertical="center"/>
      <protection locked="0"/>
    </xf>
    <xf numFmtId="0" fontId="14" fillId="10" borderId="1" xfId="0" applyFont="1" applyFill="1" applyBorder="1" applyAlignment="1" applyProtection="1">
      <alignment horizontal="center" vertical="center"/>
      <protection locked="0"/>
    </xf>
    <xf numFmtId="0" fontId="14" fillId="10" borderId="2" xfId="0" applyFont="1" applyFill="1" applyBorder="1" applyAlignment="1" applyProtection="1">
      <alignment horizontal="center" vertical="center"/>
      <protection locked="0"/>
    </xf>
    <xf numFmtId="0" fontId="7" fillId="5" borderId="18" xfId="0" applyFont="1" applyFill="1" applyBorder="1" applyAlignment="1">
      <alignment horizontal="center" vertical="center"/>
    </xf>
    <xf numFmtId="0" fontId="7" fillId="6" borderId="18" xfId="0" applyFont="1" applyFill="1" applyBorder="1" applyAlignment="1">
      <alignment horizontal="center" vertical="center"/>
    </xf>
    <xf numFmtId="0" fontId="7" fillId="10" borderId="22" xfId="0" applyFont="1" applyFill="1" applyBorder="1" applyAlignment="1">
      <alignment horizontal="center" vertical="center"/>
    </xf>
    <xf numFmtId="0" fontId="7" fillId="10" borderId="23" xfId="0" applyFont="1" applyFill="1" applyBorder="1" applyAlignment="1">
      <alignment horizontal="center" vertical="center"/>
    </xf>
    <xf numFmtId="0" fontId="7" fillId="10" borderId="24" xfId="0" applyFont="1" applyFill="1" applyBorder="1" applyAlignment="1">
      <alignment horizontal="center" vertical="center"/>
    </xf>
    <xf numFmtId="0" fontId="7" fillId="10" borderId="16" xfId="0" applyFont="1" applyFill="1" applyBorder="1" applyAlignment="1">
      <alignment horizontal="center" vertical="center"/>
    </xf>
    <xf numFmtId="0" fontId="7" fillId="10" borderId="0" xfId="0" applyFont="1" applyFill="1" applyAlignment="1">
      <alignment horizontal="center" vertical="center"/>
    </xf>
    <xf numFmtId="0" fontId="7" fillId="10" borderId="19" xfId="0" applyFont="1" applyFill="1" applyBorder="1" applyAlignment="1">
      <alignment horizontal="center" vertical="center"/>
    </xf>
    <xf numFmtId="9" fontId="7" fillId="0" borderId="6" xfId="2" applyFont="1" applyFill="1" applyBorder="1" applyAlignment="1">
      <alignment horizontal="center" vertical="center"/>
    </xf>
    <xf numFmtId="0" fontId="28" fillId="17" borderId="18" xfId="101" applyFill="1" applyBorder="1" applyAlignment="1">
      <alignment horizontal="center" vertical="center"/>
    </xf>
    <xf numFmtId="0" fontId="28" fillId="17" borderId="32" xfId="101" applyFill="1" applyBorder="1" applyAlignment="1">
      <alignment horizontal="center" vertical="center"/>
    </xf>
    <xf numFmtId="0" fontId="30" fillId="17" borderId="18" xfId="101" applyFont="1" applyFill="1" applyBorder="1" applyAlignment="1">
      <alignment horizontal="center" vertical="center" wrapText="1"/>
    </xf>
    <xf numFmtId="0" fontId="30" fillId="17" borderId="32" xfId="101" applyFont="1" applyFill="1" applyBorder="1" applyAlignment="1">
      <alignment horizontal="center" vertical="center" wrapText="1"/>
    </xf>
    <xf numFmtId="0" fontId="29" fillId="15" borderId="27" xfId="102" applyBorder="1" applyAlignment="1" applyProtection="1">
      <alignment horizontal="center" vertical="center" wrapText="1"/>
    </xf>
    <xf numFmtId="0" fontId="28" fillId="16" borderId="18" xfId="101" applyFill="1" applyBorder="1" applyAlignment="1">
      <alignment horizontal="center" vertical="center"/>
    </xf>
    <xf numFmtId="0" fontId="28" fillId="16" borderId="32" xfId="101" applyFill="1" applyBorder="1" applyAlignment="1">
      <alignment horizontal="center" vertical="center"/>
    </xf>
    <xf numFmtId="0" fontId="22" fillId="14" borderId="23" xfId="14" applyFont="1" applyFill="1" applyBorder="1" applyAlignment="1">
      <alignment horizontal="center" vertical="center" wrapText="1"/>
    </xf>
    <xf numFmtId="0" fontId="22" fillId="14" borderId="0" xfId="14" applyFont="1" applyFill="1" applyAlignment="1">
      <alignment horizontal="center" vertical="center" wrapText="1"/>
    </xf>
    <xf numFmtId="0" fontId="29" fillId="15" borderId="27" xfId="102" applyBorder="1" applyAlignment="1" applyProtection="1">
      <alignment horizontal="center" vertical="center"/>
    </xf>
    <xf numFmtId="49" fontId="30" fillId="0" borderId="29" xfId="101" applyNumberFormat="1" applyFont="1" applyBorder="1" applyAlignment="1">
      <alignment horizontal="center" vertical="center"/>
    </xf>
    <xf numFmtId="49" fontId="30" fillId="0" borderId="31" xfId="101" applyNumberFormat="1" applyFont="1" applyBorder="1" applyAlignment="1">
      <alignment horizontal="center" vertical="center"/>
    </xf>
    <xf numFmtId="0" fontId="30" fillId="16" borderId="18" xfId="101" applyFont="1" applyFill="1" applyBorder="1" applyAlignment="1">
      <alignment horizontal="center" vertical="center" wrapText="1"/>
    </xf>
    <xf numFmtId="0" fontId="30" fillId="16" borderId="32" xfId="101" applyFont="1" applyFill="1" applyBorder="1" applyAlignment="1">
      <alignment horizontal="center" vertical="center" wrapText="1"/>
    </xf>
    <xf numFmtId="0" fontId="30" fillId="18" borderId="30" xfId="101" applyFont="1" applyFill="1" applyBorder="1" applyAlignment="1">
      <alignment horizontal="center" vertical="center" wrapText="1"/>
    </xf>
    <xf numFmtId="0" fontId="30" fillId="18" borderId="33" xfId="101" applyFont="1" applyFill="1" applyBorder="1" applyAlignment="1">
      <alignment horizontal="center" vertical="center" wrapText="1"/>
    </xf>
    <xf numFmtId="0" fontId="28" fillId="16" borderId="18" xfId="101" applyFill="1" applyBorder="1" applyAlignment="1">
      <alignment horizontal="center" vertical="center" wrapText="1"/>
    </xf>
    <xf numFmtId="0" fontId="28" fillId="16" borderId="32" xfId="101" applyFill="1" applyBorder="1" applyAlignment="1">
      <alignment horizontal="center" vertical="center" wrapText="1"/>
    </xf>
    <xf numFmtId="0" fontId="30" fillId="17" borderId="18" xfId="101" applyFont="1" applyFill="1" applyBorder="1" applyAlignment="1">
      <alignment horizontal="center" vertical="center"/>
    </xf>
    <xf numFmtId="0" fontId="30" fillId="17" borderId="32" xfId="101" applyFont="1" applyFill="1" applyBorder="1" applyAlignment="1">
      <alignment horizontal="center" vertical="center"/>
    </xf>
  </cellXfs>
  <cellStyles count="104">
    <cellStyle name="Normal 2" xfId="3" xr:uid="{21CA2985-BC18-4EDB-B9A1-B523A9586319}"/>
    <cellStyle name="TableStyleLight1" xfId="102" xr:uid="{942842DE-7399-402E-82AD-2B3235F537EC}"/>
    <cellStyle name="백분율" xfId="2" builtinId="5"/>
    <cellStyle name="백분율 2" xfId="12" xr:uid="{6A67D281-4F9A-4E5E-BC18-AB120F81B1F6}"/>
    <cellStyle name="셀 확인 2" xfId="8" xr:uid="{B7111565-CF08-4735-AB93-7B1758A7DF65}"/>
    <cellStyle name="표준" xfId="0" builtinId="0"/>
    <cellStyle name="표준 10" xfId="101" xr:uid="{5B5F754D-D739-4860-82B9-54333878055A}"/>
    <cellStyle name="표준 2" xfId="1" xr:uid="{8A6ABFB9-2E76-4A44-A006-112062A498D1}"/>
    <cellStyle name="표준 2 2" xfId="7" xr:uid="{8FC0300B-9B37-40EC-8A98-63503BC4DF77}"/>
    <cellStyle name="표준 2 2 2" xfId="97" xr:uid="{41182CC3-D77F-4136-89DA-99295700F99A}"/>
    <cellStyle name="표준 2 3" xfId="25" xr:uid="{52AB1435-C42F-4031-9332-F606CC537220}"/>
    <cellStyle name="표준 2 4" xfId="95" xr:uid="{D71BE91C-C9FA-44B5-9025-AED9A0C576B9}"/>
    <cellStyle name="표준 2 5" xfId="16" xr:uid="{1C0A386F-0BEF-4388-A4EA-533206E4AD4F}"/>
    <cellStyle name="표준 3" xfId="5" xr:uid="{878C1539-D841-4452-8272-4B08F4E1FC3D}"/>
    <cellStyle name="표준 3 2" xfId="10" xr:uid="{496401BA-5C2F-4613-BF80-B819A165B27D}"/>
    <cellStyle name="표준 3 2 2" xfId="24" xr:uid="{A3EF746C-0558-4DB1-8BE1-8CAA1AD79837}"/>
    <cellStyle name="표준 3 2 2 2" xfId="90" xr:uid="{051488F6-C6EC-4F8C-AC6A-47EC9F7362FF}"/>
    <cellStyle name="표준 3 2 3" xfId="88" xr:uid="{F4450A9B-211F-4E9D-A6BD-67582B284577}"/>
    <cellStyle name="표준 3 2 4" xfId="96" xr:uid="{BE461C0A-21C6-4F6D-B4FB-691F32234D62}"/>
    <cellStyle name="표준 3 2 5" xfId="20" xr:uid="{18E016BA-0193-4280-83AD-5D7E233F22E8}"/>
    <cellStyle name="표준 3 3" xfId="11" xr:uid="{2386E83F-8C9B-4435-9958-C9EFA53A676E}"/>
    <cellStyle name="표준 3 3 2" xfId="91" xr:uid="{FCD79CF6-1606-4555-8F2D-AD72BF5F9C37}"/>
    <cellStyle name="표준 3 3 3" xfId="99" xr:uid="{85A924FE-5D7A-4492-90CD-F4B9ECE40C5C}"/>
    <cellStyle name="표준 3 3 4" xfId="85" xr:uid="{BC2F0D75-64A3-49A5-BFEF-46FACB84C006}"/>
    <cellStyle name="표준 3 4" xfId="19" xr:uid="{9B625274-A556-4DB5-A1F6-149BC385E402}"/>
    <cellStyle name="표준 3 4 2" xfId="92" xr:uid="{348B7FB9-FC26-4589-A111-CA80280913C3}"/>
    <cellStyle name="표준 3 4 3" xfId="86" xr:uid="{85FC43B0-110B-4D0F-8ACB-FFFDC6ACB2E3}"/>
    <cellStyle name="표준 3 5" xfId="27" xr:uid="{EEAF66A4-8768-4DE3-A635-411210470635}"/>
    <cellStyle name="표준 3 5 2" xfId="89" xr:uid="{8F1CB1DB-C627-422E-9F13-0B4FB7019B8C}"/>
    <cellStyle name="표준 3 6" xfId="87" xr:uid="{BDAF3B7F-28ED-4E87-85BF-AA876EB829F8}"/>
    <cellStyle name="표준 3 7" xfId="94" xr:uid="{A3F8C63A-F7C9-4D14-969C-EEDD7D72E8D5}"/>
    <cellStyle name="표준 3 8" xfId="17" xr:uid="{5D6B7847-1DEC-4C3F-B0ED-0A34189EAEF3}"/>
    <cellStyle name="표준 4" xfId="6" xr:uid="{2F016C74-5516-489F-9514-A89EBFC9C50B}"/>
    <cellStyle name="표준 4 2" xfId="21" xr:uid="{B1B6769D-EB8C-4651-A162-6DA044B975CF}"/>
    <cellStyle name="표준 4 2 2" xfId="32" xr:uid="{E1578A80-8678-44F5-89EA-505D71A82B64}"/>
    <cellStyle name="표준 4 2 2 2" xfId="40" xr:uid="{6DDF17CC-4938-4B1B-B135-52CD04F35029}"/>
    <cellStyle name="표준 4 2 2 2 2" xfId="70" xr:uid="{2922A38F-FB0D-4878-B68E-381B8C9BD264}"/>
    <cellStyle name="표준 4 2 2 3" xfId="52" xr:uid="{67AB30FD-18DA-441E-BD50-E808821C38ED}"/>
    <cellStyle name="표준 4 2 2 3 2" xfId="82" xr:uid="{DF3012D5-69C3-485F-A9CE-9F173B8C50C2}"/>
    <cellStyle name="표준 4 2 2 4" xfId="61" xr:uid="{339B76E7-1B47-46D1-8A3A-DF73A831E372}"/>
    <cellStyle name="표준 4 2 3" xfId="36" xr:uid="{6885DD5E-751C-43ED-B2E3-0368814A71B5}"/>
    <cellStyle name="표준 4 2 3 2" xfId="66" xr:uid="{29DF9C09-DE78-4E7C-BCCF-76088FC37F5C}"/>
    <cellStyle name="표준 4 2 4" xfId="48" xr:uid="{767D70D7-C400-489E-B5DD-2C0F0621454C}"/>
    <cellStyle name="표준 4 2 4 2" xfId="78" xr:uid="{C539A0C9-E3D2-49DD-8AAA-A5B75A6EE52E}"/>
    <cellStyle name="표준 4 2 4 3" xfId="98" xr:uid="{C155A5EF-29C7-48F6-8671-F104F82F2083}"/>
    <cellStyle name="표준 4 2 5" xfId="57" xr:uid="{498B6FA4-E19B-40AD-B63A-D955090940AE}"/>
    <cellStyle name="표준 4 3" xfId="22" xr:uid="{889E97BC-0431-4EB6-A4AB-89E26ED57549}"/>
    <cellStyle name="표준 4 3 2" xfId="30" xr:uid="{6AF8017D-5AED-4C11-ACBF-1AD1CC517494}"/>
    <cellStyle name="표준 4 3 2 2" xfId="38" xr:uid="{BAE8165C-445E-4E72-BD94-96D211D37531}"/>
    <cellStyle name="표준 4 3 2 2 2" xfId="68" xr:uid="{3B4DBE79-B3F7-42B7-AE7E-11713767B98B}"/>
    <cellStyle name="표준 4 3 2 3" xfId="50" xr:uid="{4404111C-C68C-4E51-9E72-9C0C7797E8CD}"/>
    <cellStyle name="표준 4 3 2 3 2" xfId="80" xr:uid="{F35981DA-D059-4BBA-A009-224B6688D805}"/>
    <cellStyle name="표준 4 3 2 4" xfId="59" xr:uid="{FDDC5E35-068E-4F7F-9D71-320EB869F69A}"/>
    <cellStyle name="표준 4 3 3" xfId="34" xr:uid="{AD6E7074-53BD-4E61-B687-56CA2CDD4D93}"/>
    <cellStyle name="표준 4 3 3 2" xfId="64" xr:uid="{F8E02117-99E0-4725-BF15-92052EDC5E3A}"/>
    <cellStyle name="표준 4 3 4" xfId="46" xr:uid="{712948AF-0131-4C31-971C-76710F46A400}"/>
    <cellStyle name="표준 4 3 4 2" xfId="76" xr:uid="{28E356C4-93A2-43C9-ABAC-7B482AC2EF79}"/>
    <cellStyle name="표준 4 3 5" xfId="55" xr:uid="{FCA58A4C-7E6B-4599-9E0B-807E25FF1768}"/>
    <cellStyle name="표준 4 3 6" xfId="28" xr:uid="{C7F7A524-6C8C-41BE-80E8-D18D9C3092E0}"/>
    <cellStyle name="표준 4 4" xfId="29" xr:uid="{A6347FFC-86F6-4186-B598-E17EBCEEBDCE}"/>
    <cellStyle name="표준 4 4 2" xfId="37" xr:uid="{E0FFF4B1-9E88-45CE-AAD1-D46A2C6A8321}"/>
    <cellStyle name="표준 4 4 2 2" xfId="67" xr:uid="{A24E3FC2-A500-4CDD-AE27-C3C1496C649C}"/>
    <cellStyle name="표준 4 4 3" xfId="49" xr:uid="{64E93522-0C72-4862-A8C8-1537044330E0}"/>
    <cellStyle name="표준 4 4 3 2" xfId="79" xr:uid="{1A0AA6F2-F492-4304-88A5-DAFD40A378A8}"/>
    <cellStyle name="표준 4 4 4" xfId="58" xr:uid="{44D80996-FFE3-4DF4-82C9-D8FDBA68358F}"/>
    <cellStyle name="표준 4 5" xfId="33" xr:uid="{36C999DC-5CF4-4472-9260-345955D43E6C}"/>
    <cellStyle name="표준 4 5 2" xfId="63" xr:uid="{E678FCA9-0B3C-48F7-8FB1-6709E3254C68}"/>
    <cellStyle name="표준 4 6" xfId="45" xr:uid="{641E3FED-E926-4232-9943-0FA7B2575BEF}"/>
    <cellStyle name="표준 4 6 2" xfId="75" xr:uid="{614864A0-11D8-4E73-95E5-4D72B5F4DB6F}"/>
    <cellStyle name="표준 4 7" xfId="54" xr:uid="{D3FBD028-43EF-4DFA-9DE1-F204D5B89A86}"/>
    <cellStyle name="표준 4 8" xfId="18" xr:uid="{00DED533-14DE-425F-995C-FD97114AA99B}"/>
    <cellStyle name="표준 5" xfId="9" xr:uid="{DCAAEB4A-9330-4E00-BBCA-42839C92D4A0}"/>
    <cellStyle name="표준 5 2" xfId="31" xr:uid="{CB31794A-FAD6-4AD7-B621-44F358B04DD8}"/>
    <cellStyle name="표준 5 2 2" xfId="39" xr:uid="{A76A1283-1D6D-47F8-B79B-E6094BCF5EDB}"/>
    <cellStyle name="표준 5 2 2 2" xfId="69" xr:uid="{56F46E8C-57F5-45BB-89F5-95AB74B5B3BF}"/>
    <cellStyle name="표준 5 2 3" xfId="51" xr:uid="{2B1C64CB-A266-44FB-946C-BA971754A820}"/>
    <cellStyle name="표준 5 2 3 2" xfId="81" xr:uid="{47F078C6-3DEC-4E80-9CA8-2292C38A8FA5}"/>
    <cellStyle name="표준 5 2 4" xfId="60" xr:uid="{E3E1F71B-9717-4890-ABEE-48809E80E561}"/>
    <cellStyle name="표준 5 3" xfId="35" xr:uid="{599675FD-3CC2-4E9D-902C-252533EFA1E1}"/>
    <cellStyle name="표준 5 3 2" xfId="65" xr:uid="{B9E2FA60-956F-40B5-8F61-5CAA0CC78290}"/>
    <cellStyle name="표준 5 4" xfId="47" xr:uid="{4C920421-3E20-47A1-9487-77240EF71CDC}"/>
    <cellStyle name="표준 5 4 2" xfId="77" xr:uid="{E40C2F69-EE73-4067-9E0D-E0EDDDAB6280}"/>
    <cellStyle name="표준 5 5" xfId="56" xr:uid="{201FEBAC-4A0B-4EC7-9B10-E78D0705C9F0}"/>
    <cellStyle name="표준 6" xfId="13" xr:uid="{6428FCD5-B4EE-4ACA-8947-E62CD87430A0}"/>
    <cellStyle name="표준 6 2" xfId="41" xr:uid="{1CF848F0-5786-4E85-A514-99A2A5197C4D}"/>
    <cellStyle name="표준 6 2 2" xfId="71" xr:uid="{EDEE4DF2-D381-4C3C-AD61-861A4C6DE328}"/>
    <cellStyle name="표준 6 3" xfId="43" xr:uid="{882163C9-8658-4BBE-9A2E-F08EE42A2C79}"/>
    <cellStyle name="표준 6 3 2" xfId="73" xr:uid="{B2638FC4-D011-43F1-91C1-9611F64B8D00}"/>
    <cellStyle name="표준 6 4" xfId="53" xr:uid="{9345A133-0AF0-4C40-8AD8-4032BD6B3032}"/>
    <cellStyle name="표준 6 4 2" xfId="83" xr:uid="{7C76BFEB-20FC-4642-8616-07A5F0C2BE08}"/>
    <cellStyle name="표준 6 5" xfId="62" xr:uid="{8D048EC7-FCE0-4364-8FB3-9838232DB21E}"/>
    <cellStyle name="표준 6 6" xfId="93" xr:uid="{2DCC7BD5-F996-41A7-837D-D619C05CB241}"/>
    <cellStyle name="표준 7" xfId="4" xr:uid="{158C7159-5E75-4E0D-9719-C11D1882B626}"/>
    <cellStyle name="표준 7 2" xfId="14" xr:uid="{FD211026-41D2-4435-A3E6-12ECA9DB4E94}"/>
    <cellStyle name="표준 7 3" xfId="72" xr:uid="{FF14A908-7E92-4DA7-8DF8-ABAF3993CC49}"/>
    <cellStyle name="표준 7 4" xfId="42" xr:uid="{5F688D68-BA88-414A-9D0C-2C4AF04483E1}"/>
    <cellStyle name="표준 8" xfId="15" xr:uid="{FF12E126-AAB9-43C5-9062-542FDB039CEA}"/>
    <cellStyle name="표준 8 2" xfId="74" xr:uid="{AEE3CFB3-B66A-47FB-95C3-535E29683FE1}"/>
    <cellStyle name="표준 8 3" xfId="44" xr:uid="{D4F55E58-6498-4CBE-98C4-B9CA72CD8575}"/>
    <cellStyle name="표준 9" xfId="26" xr:uid="{9E11634C-AA37-442D-865F-F207CA929849}"/>
    <cellStyle name="하이퍼링크" xfId="103" builtinId="8"/>
    <cellStyle name="하이퍼링크 2" xfId="23" xr:uid="{7F4029AA-BBB2-4BFF-A8B9-EDDE43D7EEF4}"/>
    <cellStyle name="하이퍼링크 2 2" xfId="84" xr:uid="{BF28785E-4966-4645-BC19-0B1440D280FD}"/>
    <cellStyle name="하이퍼링크 3" xfId="100" xr:uid="{1617A6B2-7107-440F-BFE4-91600878DE16}"/>
  </cellStyles>
  <dxfs count="4">
    <dxf>
      <font>
        <b/>
        <i val="0"/>
        <color theme="1"/>
      </font>
      <fill>
        <patternFill>
          <bgColor theme="4" tint="0.59996337778862885"/>
        </patternFill>
      </fill>
    </dxf>
    <dxf>
      <font>
        <b/>
        <i val="0"/>
        <color theme="0" tint="-4.9989318521683403E-2"/>
      </font>
      <fill>
        <patternFill>
          <bgColor rgb="FFFF0000"/>
        </patternFill>
      </fill>
    </dxf>
    <dxf>
      <font>
        <b/>
        <i val="0"/>
        <color theme="1"/>
      </font>
      <fill>
        <patternFill>
          <bgColor theme="9" tint="0.59996337778862885"/>
        </patternFill>
      </fill>
    </dxf>
    <dxf>
      <fill>
        <patternFill>
          <bgColor theme="0" tint="-0.14996795556505021"/>
        </patternFill>
      </fill>
    </dxf>
  </dxfs>
  <tableStyles count="0" defaultTableStyle="TableStyleMedium2" defaultPivotStyle="PivotStyleLight16"/>
  <colors>
    <mruColors>
      <color rgb="FF2BF53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902805</xdr:colOff>
      <xdr:row>1</xdr:row>
      <xdr:rowOff>61389</xdr:rowOff>
    </xdr:from>
    <xdr:ext cx="1298188" cy="376004"/>
    <xdr:pic>
      <xdr:nvPicPr>
        <xdr:cNvPr id="3" name="그림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96153" y="276737"/>
          <a:ext cx="1298188" cy="376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4</xdr:col>
      <xdr:colOff>28069</xdr:colOff>
      <xdr:row>56</xdr:row>
      <xdr:rowOff>1247776</xdr:rowOff>
    </xdr:from>
    <xdr:to>
      <xdr:col>6</xdr:col>
      <xdr:colOff>1635417</xdr:colOff>
      <xdr:row>56</xdr:row>
      <xdr:rowOff>2273301</xdr:rowOff>
    </xdr:to>
    <xdr:pic>
      <xdr:nvPicPr>
        <xdr:cNvPr id="5" name="그림 4">
          <a:extLst>
            <a:ext uri="{FF2B5EF4-FFF2-40B4-BE49-F238E27FC236}">
              <a16:creationId xmlns:a16="http://schemas.microsoft.com/office/drawing/2014/main" id="{A428AC01-40B3-A6E8-0BB7-98069A3B1294}"/>
            </a:ext>
          </a:extLst>
        </xdr:cNvPr>
        <xdr:cNvPicPr>
          <a:picLocks noChangeAspect="1"/>
        </xdr:cNvPicPr>
      </xdr:nvPicPr>
      <xdr:blipFill>
        <a:blip xmlns:r="http://schemas.openxmlformats.org/officeDocument/2006/relationships" r:embed="rId2"/>
        <a:stretch>
          <a:fillRect/>
        </a:stretch>
      </xdr:blipFill>
      <xdr:spPr>
        <a:xfrm>
          <a:off x="5857369" y="46739176"/>
          <a:ext cx="3674273" cy="1028700"/>
        </a:xfrm>
        <a:prstGeom prst="rect">
          <a:avLst/>
        </a:prstGeom>
      </xdr:spPr>
    </xdr:pic>
    <xdr:clientData/>
  </xdr:twoCellAnchor>
  <xdr:twoCellAnchor editAs="oneCell">
    <xdr:from>
      <xdr:col>4</xdr:col>
      <xdr:colOff>69117</xdr:colOff>
      <xdr:row>46</xdr:row>
      <xdr:rowOff>435464</xdr:rowOff>
    </xdr:from>
    <xdr:to>
      <xdr:col>6</xdr:col>
      <xdr:colOff>486752</xdr:colOff>
      <xdr:row>47</xdr:row>
      <xdr:rowOff>1244</xdr:rowOff>
    </xdr:to>
    <xdr:pic>
      <xdr:nvPicPr>
        <xdr:cNvPr id="6" name="그림 5">
          <a:extLst>
            <a:ext uri="{FF2B5EF4-FFF2-40B4-BE49-F238E27FC236}">
              <a16:creationId xmlns:a16="http://schemas.microsoft.com/office/drawing/2014/main" id="{B23F8D8E-3E42-22E1-FB68-1158EB187D9B}"/>
            </a:ext>
          </a:extLst>
        </xdr:cNvPr>
        <xdr:cNvPicPr>
          <a:picLocks noChangeAspect="1"/>
        </xdr:cNvPicPr>
      </xdr:nvPicPr>
      <xdr:blipFill>
        <a:blip xmlns:r="http://schemas.openxmlformats.org/officeDocument/2006/relationships" r:embed="rId3"/>
        <a:stretch>
          <a:fillRect/>
        </a:stretch>
      </xdr:blipFill>
      <xdr:spPr>
        <a:xfrm>
          <a:off x="6194425" y="35106464"/>
          <a:ext cx="2483827" cy="1099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554181</xdr:colOff>
      <xdr:row>63</xdr:row>
      <xdr:rowOff>86591</xdr:rowOff>
    </xdr:from>
    <xdr:to>
      <xdr:col>7</xdr:col>
      <xdr:colOff>346364</xdr:colOff>
      <xdr:row>75</xdr:row>
      <xdr:rowOff>121227</xdr:rowOff>
    </xdr:to>
    <xdr:sp macro="" textlink="">
      <xdr:nvSpPr>
        <xdr:cNvPr id="92" name="직사각형 91">
          <a:extLst>
            <a:ext uri="{FF2B5EF4-FFF2-40B4-BE49-F238E27FC236}">
              <a16:creationId xmlns:a16="http://schemas.microsoft.com/office/drawing/2014/main" id="{00000000-0008-0000-0100-00005C000000}"/>
            </a:ext>
          </a:extLst>
        </xdr:cNvPr>
        <xdr:cNvSpPr/>
      </xdr:nvSpPr>
      <xdr:spPr>
        <a:xfrm>
          <a:off x="1939636" y="13179136"/>
          <a:ext cx="3255819" cy="2528455"/>
        </a:xfrm>
        <a:prstGeom prst="rect">
          <a:avLst/>
        </a:prstGeom>
        <a:noFill/>
        <a:ln w="6032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277091</xdr:colOff>
      <xdr:row>75</xdr:row>
      <xdr:rowOff>121227</xdr:rowOff>
    </xdr:from>
    <xdr:to>
      <xdr:col>8</xdr:col>
      <xdr:colOff>425348</xdr:colOff>
      <xdr:row>76</xdr:row>
      <xdr:rowOff>24803</xdr:rowOff>
    </xdr:to>
    <xdr:cxnSp macro="">
      <xdr:nvCxnSpPr>
        <xdr:cNvPr id="93" name="직선 연결선 92">
          <a:extLst>
            <a:ext uri="{FF2B5EF4-FFF2-40B4-BE49-F238E27FC236}">
              <a16:creationId xmlns:a16="http://schemas.microsoft.com/office/drawing/2014/main" id="{00000000-0008-0000-0100-00005D000000}"/>
            </a:ext>
          </a:extLst>
        </xdr:cNvPr>
        <xdr:cNvCxnSpPr>
          <a:cxnSpLocks/>
        </xdr:cNvCxnSpPr>
      </xdr:nvCxnSpPr>
      <xdr:spPr>
        <a:xfrm>
          <a:off x="5126182" y="15707591"/>
          <a:ext cx="840984" cy="111394"/>
        </a:xfrm>
        <a:prstGeom prst="line">
          <a:avLst/>
        </a:prstGeom>
        <a:ln w="34925">
          <a:solidFill>
            <a:schemeClr val="bg1"/>
          </a:solidFill>
          <a:headEnd type="ova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502225</xdr:colOff>
      <xdr:row>132</xdr:row>
      <xdr:rowOff>64077</xdr:rowOff>
    </xdr:from>
    <xdr:to>
      <xdr:col>7</xdr:col>
      <xdr:colOff>294408</xdr:colOff>
      <xdr:row>144</xdr:row>
      <xdr:rowOff>98714</xdr:rowOff>
    </xdr:to>
    <xdr:sp macro="" textlink="">
      <xdr:nvSpPr>
        <xdr:cNvPr id="107" name="직사각형 106">
          <a:extLst>
            <a:ext uri="{FF2B5EF4-FFF2-40B4-BE49-F238E27FC236}">
              <a16:creationId xmlns:a16="http://schemas.microsoft.com/office/drawing/2014/main" id="{00000000-0008-0000-0100-00006B000000}"/>
            </a:ext>
          </a:extLst>
        </xdr:cNvPr>
        <xdr:cNvSpPr/>
      </xdr:nvSpPr>
      <xdr:spPr>
        <a:xfrm>
          <a:off x="1887680" y="27496077"/>
          <a:ext cx="3255819" cy="2528455"/>
        </a:xfrm>
        <a:prstGeom prst="rect">
          <a:avLst/>
        </a:prstGeom>
        <a:noFill/>
        <a:ln w="6032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215610</xdr:colOff>
      <xdr:row>144</xdr:row>
      <xdr:rowOff>98714</xdr:rowOff>
    </xdr:from>
    <xdr:to>
      <xdr:col>8</xdr:col>
      <xdr:colOff>373392</xdr:colOff>
      <xdr:row>145</xdr:row>
      <xdr:rowOff>2290</xdr:rowOff>
    </xdr:to>
    <xdr:cxnSp macro="">
      <xdr:nvCxnSpPr>
        <xdr:cNvPr id="108" name="직선 연결선 107">
          <a:extLst>
            <a:ext uri="{FF2B5EF4-FFF2-40B4-BE49-F238E27FC236}">
              <a16:creationId xmlns:a16="http://schemas.microsoft.com/office/drawing/2014/main" id="{00000000-0008-0000-0100-00006C000000}"/>
            </a:ext>
          </a:extLst>
        </xdr:cNvPr>
        <xdr:cNvCxnSpPr>
          <a:cxnSpLocks/>
        </xdr:cNvCxnSpPr>
      </xdr:nvCxnSpPr>
      <xdr:spPr>
        <a:xfrm>
          <a:off x="5064701" y="30024532"/>
          <a:ext cx="850509" cy="111394"/>
        </a:xfrm>
        <a:prstGeom prst="line">
          <a:avLst/>
        </a:prstGeom>
        <a:ln w="34925">
          <a:solidFill>
            <a:schemeClr val="bg1"/>
          </a:solidFill>
          <a:head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11572-C03C-431F-B09A-97A47F24C1F2}">
  <dimension ref="B2:N70"/>
  <sheetViews>
    <sheetView showGridLines="0" tabSelected="1" topLeftCell="A64" zoomScale="130" zoomScaleNormal="130" workbookViewId="0">
      <selection activeCell="E66" sqref="E66:G66"/>
    </sheetView>
  </sheetViews>
  <sheetFormatPr defaultColWidth="8.5" defaultRowHeight="16.5" x14ac:dyDescent="0.3"/>
  <cols>
    <col min="1" max="1" width="3.5" style="2" customWidth="1"/>
    <col min="2" max="2" width="19" style="2" customWidth="1"/>
    <col min="3" max="3" width="22" style="2" customWidth="1"/>
    <col min="4" max="4" width="35.625" style="2" customWidth="1"/>
    <col min="5" max="5" width="14.5" style="2" customWidth="1"/>
    <col min="6" max="6" width="12.5" style="2" customWidth="1"/>
    <col min="7" max="7" width="39.625" style="2" customWidth="1"/>
    <col min="8" max="8" width="13.5" style="2" customWidth="1"/>
    <col min="9" max="9" width="13.5" style="10" customWidth="1"/>
    <col min="10" max="10" width="37" style="2" bestFit="1" customWidth="1"/>
    <col min="11" max="11" width="14.5" style="2" bestFit="1" customWidth="1"/>
    <col min="12" max="12" width="15.875" style="2" customWidth="1"/>
    <col min="13" max="13" width="28.375" style="2" customWidth="1"/>
    <col min="14" max="16384" width="8.5" style="2"/>
  </cols>
  <sheetData>
    <row r="2" spans="2:14" ht="26.25" x14ac:dyDescent="0.3">
      <c r="B2" s="7" t="s">
        <v>0</v>
      </c>
      <c r="C2" s="7"/>
      <c r="D2" s="1"/>
      <c r="H2" s="15"/>
    </row>
    <row r="3" spans="2:14" ht="15" customHeight="1" x14ac:dyDescent="0.3">
      <c r="B3" s="5"/>
      <c r="C3" s="5"/>
      <c r="D3" s="1"/>
      <c r="F3" s="3"/>
    </row>
    <row r="4" spans="2:14" s="6" customFormat="1" ht="20.45" customHeight="1" x14ac:dyDescent="0.3">
      <c r="B4" s="87" t="s">
        <v>1</v>
      </c>
      <c r="C4" s="87"/>
      <c r="D4" s="87"/>
      <c r="E4" s="88" t="s">
        <v>2</v>
      </c>
      <c r="F4" s="88"/>
      <c r="G4" s="88"/>
      <c r="H4" s="88" t="s">
        <v>3</v>
      </c>
      <c r="I4" s="88"/>
      <c r="J4" s="88"/>
      <c r="K4" s="88"/>
      <c r="L4" s="88"/>
      <c r="M4" s="88"/>
    </row>
    <row r="5" spans="2:14" s="4" customFormat="1" ht="17.25" customHeight="1" x14ac:dyDescent="0.3">
      <c r="B5" s="41" t="s">
        <v>4</v>
      </c>
      <c r="C5" s="64"/>
      <c r="D5" s="64"/>
      <c r="E5" s="93" t="s">
        <v>5</v>
      </c>
      <c r="F5" s="94"/>
      <c r="G5" s="95"/>
      <c r="H5" s="13" t="s">
        <v>6</v>
      </c>
      <c r="I5" s="84">
        <f>COUNTIF(H19:H66, "PASS")</f>
        <v>0</v>
      </c>
      <c r="J5" s="84"/>
      <c r="K5" s="13" t="s">
        <v>6</v>
      </c>
      <c r="L5" s="84">
        <f>COUNTIF(K19:K66, "PASS")</f>
        <v>0</v>
      </c>
      <c r="M5" s="84"/>
    </row>
    <row r="6" spans="2:14" s="4" customFormat="1" x14ac:dyDescent="0.3">
      <c r="B6" s="41" t="s">
        <v>7</v>
      </c>
      <c r="C6" s="64"/>
      <c r="D6" s="64"/>
      <c r="E6" s="96" t="s">
        <v>8</v>
      </c>
      <c r="F6" s="97"/>
      <c r="G6" s="98"/>
      <c r="H6" s="13" t="s">
        <v>9</v>
      </c>
      <c r="I6" s="85">
        <f>COUNTIF(H19:H66, "NG")</f>
        <v>0</v>
      </c>
      <c r="J6" s="85"/>
      <c r="K6" s="13" t="s">
        <v>9</v>
      </c>
      <c r="L6" s="85">
        <f>COUNTIF(K19:K66, "NG")</f>
        <v>0</v>
      </c>
      <c r="M6" s="85"/>
      <c r="N6" s="2"/>
    </row>
    <row r="7" spans="2:14" s="4" customFormat="1" x14ac:dyDescent="0.3">
      <c r="B7" s="41" t="s">
        <v>10</v>
      </c>
      <c r="C7" s="64"/>
      <c r="D7" s="64"/>
      <c r="E7" s="99" t="s">
        <v>11</v>
      </c>
      <c r="F7" s="100"/>
      <c r="G7" s="101"/>
      <c r="H7" s="13" t="s">
        <v>12</v>
      </c>
      <c r="I7" s="85">
        <f>COUNTIF(H19:H66, "N.A")</f>
        <v>0</v>
      </c>
      <c r="J7" s="85"/>
      <c r="K7" s="13" t="s">
        <v>12</v>
      </c>
      <c r="L7" s="85">
        <f>COUNTIF(K19:K66, "N.A")</f>
        <v>0</v>
      </c>
      <c r="M7" s="85"/>
      <c r="N7" s="2"/>
    </row>
    <row r="8" spans="2:14" s="4" customFormat="1" ht="17.25" thickBot="1" x14ac:dyDescent="0.35">
      <c r="B8" s="41" t="s">
        <v>13</v>
      </c>
      <c r="C8" s="64"/>
      <c r="D8" s="64"/>
      <c r="E8" s="102" t="s">
        <v>14</v>
      </c>
      <c r="F8" s="103"/>
      <c r="G8" s="104"/>
      <c r="H8" s="14" t="s">
        <v>15</v>
      </c>
      <c r="I8" s="86">
        <f>COUNTIF(H19:H66, "Not yet")</f>
        <v>48</v>
      </c>
      <c r="J8" s="86"/>
      <c r="K8" s="14" t="s">
        <v>15</v>
      </c>
      <c r="L8" s="86">
        <f>COUNTIF(K19:K66, "Not yet")</f>
        <v>48</v>
      </c>
      <c r="M8" s="86"/>
      <c r="N8" s="2"/>
    </row>
    <row r="9" spans="2:14" s="4" customFormat="1" x14ac:dyDescent="0.3">
      <c r="B9" s="41" t="s">
        <v>16</v>
      </c>
      <c r="C9" s="64"/>
      <c r="D9" s="64"/>
      <c r="E9" s="105" t="s">
        <v>17</v>
      </c>
      <c r="F9" s="106"/>
      <c r="G9" s="107"/>
      <c r="H9" s="110" t="s">
        <v>3</v>
      </c>
      <c r="I9" s="78">
        <f>I5/(I5+I6+I8)</f>
        <v>0</v>
      </c>
      <c r="J9" s="79"/>
      <c r="K9" s="113" t="s">
        <v>3</v>
      </c>
      <c r="L9" s="78">
        <f>L5/(L5+L6+L8)</f>
        <v>0</v>
      </c>
      <c r="M9" s="79"/>
      <c r="N9" s="2"/>
    </row>
    <row r="10" spans="2:14" s="4" customFormat="1" x14ac:dyDescent="0.3">
      <c r="B10" s="41" t="s">
        <v>18</v>
      </c>
      <c r="C10" s="64"/>
      <c r="D10" s="64"/>
      <c r="E10" s="40"/>
      <c r="F10" s="40"/>
      <c r="G10" s="40"/>
      <c r="H10" s="111"/>
      <c r="I10" s="80"/>
      <c r="J10" s="81"/>
      <c r="K10" s="114"/>
      <c r="L10" s="80"/>
      <c r="M10" s="81"/>
      <c r="N10" s="2"/>
    </row>
    <row r="11" spans="2:14" s="4" customFormat="1" x14ac:dyDescent="0.3">
      <c r="B11" s="41" t="s">
        <v>19</v>
      </c>
      <c r="C11" s="64"/>
      <c r="D11" s="64"/>
      <c r="E11" s="40"/>
      <c r="F11" s="40"/>
      <c r="G11" s="40"/>
      <c r="H11" s="111"/>
      <c r="I11" s="80"/>
      <c r="J11" s="81"/>
      <c r="K11" s="114"/>
      <c r="L11" s="80"/>
      <c r="M11" s="81"/>
      <c r="N11" s="2"/>
    </row>
    <row r="12" spans="2:14" s="4" customFormat="1" x14ac:dyDescent="0.3">
      <c r="B12" s="41" t="s">
        <v>20</v>
      </c>
      <c r="C12" s="64"/>
      <c r="D12" s="64"/>
      <c r="E12" s="40"/>
      <c r="F12" s="40"/>
      <c r="G12" s="40"/>
      <c r="H12" s="111"/>
      <c r="I12" s="80"/>
      <c r="J12" s="81"/>
      <c r="K12" s="114"/>
      <c r="L12" s="80"/>
      <c r="M12" s="81"/>
      <c r="N12" s="2"/>
    </row>
    <row r="13" spans="2:14" s="4" customFormat="1" ht="17.25" thickBot="1" x14ac:dyDescent="0.35">
      <c r="B13" s="41" t="s">
        <v>21</v>
      </c>
      <c r="C13" s="65"/>
      <c r="D13" s="64"/>
      <c r="E13" s="40"/>
      <c r="F13" s="40"/>
      <c r="G13" s="40"/>
      <c r="H13" s="112"/>
      <c r="I13" s="82"/>
      <c r="J13" s="83"/>
      <c r="K13" s="115"/>
      <c r="L13" s="82"/>
      <c r="M13" s="83"/>
      <c r="N13" s="2"/>
    </row>
    <row r="14" spans="2:14" s="4" customFormat="1" x14ac:dyDescent="0.3">
      <c r="B14" s="11"/>
      <c r="C14" s="11"/>
      <c r="D14" s="11"/>
      <c r="E14" s="12"/>
      <c r="F14" s="12"/>
      <c r="G14" s="12"/>
      <c r="H14" s="17">
        <v>1</v>
      </c>
      <c r="I14" s="68" t="s">
        <v>6</v>
      </c>
      <c r="J14" s="116"/>
      <c r="K14" s="16" t="s">
        <v>22</v>
      </c>
      <c r="L14" s="68" t="s">
        <v>23</v>
      </c>
      <c r="M14" s="69"/>
      <c r="N14" s="2"/>
    </row>
    <row r="15" spans="2:14" s="4" customFormat="1" ht="17.25" thickBot="1" x14ac:dyDescent="0.35">
      <c r="B15" s="9" t="s">
        <v>24</v>
      </c>
      <c r="C15" s="9"/>
      <c r="D15" s="6"/>
      <c r="E15" s="9"/>
      <c r="F15" s="8"/>
      <c r="G15" s="8"/>
      <c r="H15" s="18" t="s">
        <v>25</v>
      </c>
      <c r="I15" s="70" t="s">
        <v>26</v>
      </c>
      <c r="J15" s="72"/>
      <c r="K15" s="19" t="s">
        <v>27</v>
      </c>
      <c r="L15" s="70" t="s">
        <v>28</v>
      </c>
      <c r="M15" s="71"/>
      <c r="N15" s="2"/>
    </row>
    <row r="16" spans="2:14" s="4" customFormat="1" x14ac:dyDescent="0.3">
      <c r="B16" s="9" t="s">
        <v>29</v>
      </c>
      <c r="C16" s="9" t="s">
        <v>30</v>
      </c>
      <c r="D16" s="6"/>
      <c r="E16" s="9"/>
      <c r="F16" s="8"/>
      <c r="G16" s="8"/>
      <c r="H16" s="43"/>
      <c r="I16" s="42"/>
      <c r="J16" s="42"/>
      <c r="K16" s="43"/>
      <c r="L16" s="42"/>
      <c r="M16" s="42"/>
      <c r="N16" s="2"/>
    </row>
    <row r="17" spans="2:14" s="4" customFormat="1" x14ac:dyDescent="0.3">
      <c r="B17" s="77" t="s">
        <v>31</v>
      </c>
      <c r="C17" s="77" t="s">
        <v>32</v>
      </c>
      <c r="D17" s="77" t="s">
        <v>33</v>
      </c>
      <c r="E17" s="77" t="s">
        <v>34</v>
      </c>
      <c r="F17" s="77"/>
      <c r="G17" s="77"/>
      <c r="H17" s="108" t="s">
        <v>35</v>
      </c>
      <c r="I17" s="108"/>
      <c r="J17" s="108"/>
      <c r="K17" s="109" t="s">
        <v>36</v>
      </c>
      <c r="L17" s="109"/>
      <c r="M17" s="109"/>
      <c r="N17" s="2"/>
    </row>
    <row r="18" spans="2:14" ht="27" x14ac:dyDescent="0.3">
      <c r="B18" s="77"/>
      <c r="C18" s="77"/>
      <c r="D18" s="77"/>
      <c r="E18" s="77"/>
      <c r="F18" s="77"/>
      <c r="G18" s="77"/>
      <c r="H18" s="20" t="s">
        <v>37</v>
      </c>
      <c r="I18" s="20" t="s">
        <v>38</v>
      </c>
      <c r="J18" s="20" t="s">
        <v>39</v>
      </c>
      <c r="K18" s="20" t="s">
        <v>37</v>
      </c>
      <c r="L18" s="20" t="s">
        <v>38</v>
      </c>
      <c r="M18" s="20" t="s">
        <v>39</v>
      </c>
    </row>
    <row r="19" spans="2:14" ht="75.95" customHeight="1" x14ac:dyDescent="0.3">
      <c r="B19" s="21" t="s">
        <v>40</v>
      </c>
      <c r="C19" s="22" t="s">
        <v>41</v>
      </c>
      <c r="D19" s="23" t="s">
        <v>42</v>
      </c>
      <c r="E19" s="73" t="s">
        <v>43</v>
      </c>
      <c r="F19" s="74"/>
      <c r="G19" s="74"/>
      <c r="H19" s="24" t="s">
        <v>44</v>
      </c>
      <c r="I19" s="55"/>
      <c r="J19" s="56"/>
      <c r="K19" s="24" t="s">
        <v>44</v>
      </c>
      <c r="L19" s="55"/>
      <c r="M19" s="59"/>
    </row>
    <row r="20" spans="2:14" ht="24" x14ac:dyDescent="0.3">
      <c r="B20" s="21" t="s">
        <v>45</v>
      </c>
      <c r="C20" s="22" t="s">
        <v>46</v>
      </c>
      <c r="D20" s="23" t="s">
        <v>47</v>
      </c>
      <c r="E20" s="73" t="s">
        <v>216</v>
      </c>
      <c r="F20" s="74"/>
      <c r="G20" s="74"/>
      <c r="H20" s="24" t="s">
        <v>44</v>
      </c>
      <c r="I20" s="55"/>
      <c r="J20" s="56"/>
      <c r="K20" s="24" t="s">
        <v>44</v>
      </c>
      <c r="L20" s="55"/>
      <c r="M20" s="25"/>
    </row>
    <row r="21" spans="2:14" ht="24" x14ac:dyDescent="0.3">
      <c r="B21" s="21" t="s">
        <v>48</v>
      </c>
      <c r="C21" s="22" t="s">
        <v>49</v>
      </c>
      <c r="D21" s="23" t="s">
        <v>50</v>
      </c>
      <c r="E21" s="73" t="s">
        <v>51</v>
      </c>
      <c r="F21" s="73"/>
      <c r="G21" s="73"/>
      <c r="H21" s="24" t="s">
        <v>44</v>
      </c>
      <c r="I21" s="55"/>
      <c r="J21" s="57"/>
      <c r="K21" s="24" t="s">
        <v>44</v>
      </c>
      <c r="L21" s="25"/>
      <c r="M21" s="25"/>
    </row>
    <row r="22" spans="2:14" ht="99.95" customHeight="1" x14ac:dyDescent="0.3">
      <c r="B22" s="66" t="s">
        <v>52</v>
      </c>
      <c r="C22" s="27" t="s">
        <v>53</v>
      </c>
      <c r="D22" s="28" t="s">
        <v>54</v>
      </c>
      <c r="E22" s="92" t="s">
        <v>55</v>
      </c>
      <c r="F22" s="74"/>
      <c r="G22" s="74"/>
      <c r="H22" s="24" t="s">
        <v>44</v>
      </c>
      <c r="I22" s="55"/>
      <c r="J22" s="25"/>
      <c r="K22" s="24" t="s">
        <v>44</v>
      </c>
      <c r="L22" s="25"/>
      <c r="M22" s="25"/>
    </row>
    <row r="23" spans="2:14" ht="78" customHeight="1" x14ac:dyDescent="0.3">
      <c r="B23" s="66"/>
      <c r="C23" s="27" t="s">
        <v>56</v>
      </c>
      <c r="D23" s="28" t="s">
        <v>57</v>
      </c>
      <c r="E23" s="75" t="s">
        <v>58</v>
      </c>
      <c r="F23" s="76"/>
      <c r="G23" s="76"/>
      <c r="H23" s="24" t="s">
        <v>44</v>
      </c>
      <c r="I23" s="55"/>
      <c r="J23" s="56"/>
      <c r="K23" s="24" t="s">
        <v>44</v>
      </c>
      <c r="L23" s="55"/>
      <c r="M23" s="25"/>
    </row>
    <row r="24" spans="2:14" ht="38.25" customHeight="1" x14ac:dyDescent="0.3">
      <c r="B24" s="66"/>
      <c r="C24" s="27" t="s">
        <v>59</v>
      </c>
      <c r="D24" s="29" t="s">
        <v>60</v>
      </c>
      <c r="E24" s="73" t="s">
        <v>61</v>
      </c>
      <c r="F24" s="74"/>
      <c r="G24" s="74"/>
      <c r="H24" s="24" t="s">
        <v>44</v>
      </c>
      <c r="I24" s="25"/>
      <c r="J24" s="25"/>
      <c r="K24" s="24" t="s">
        <v>44</v>
      </c>
      <c r="L24" s="25"/>
      <c r="M24" s="25"/>
    </row>
    <row r="25" spans="2:14" ht="38.25" customHeight="1" x14ac:dyDescent="0.3">
      <c r="B25" s="66"/>
      <c r="C25" s="27" t="s">
        <v>62</v>
      </c>
      <c r="D25" s="29" t="s">
        <v>63</v>
      </c>
      <c r="E25" s="75" t="s">
        <v>64</v>
      </c>
      <c r="F25" s="76"/>
      <c r="G25" s="76"/>
      <c r="H25" s="24" t="s">
        <v>44</v>
      </c>
      <c r="I25" s="25"/>
      <c r="J25" s="25"/>
      <c r="K25" s="24" t="s">
        <v>44</v>
      </c>
      <c r="L25" s="25"/>
      <c r="M25" s="25"/>
    </row>
    <row r="26" spans="2:14" ht="45.75" customHeight="1" x14ac:dyDescent="0.3">
      <c r="B26" s="66"/>
      <c r="C26" s="27" t="s">
        <v>65</v>
      </c>
      <c r="D26" s="29" t="s">
        <v>66</v>
      </c>
      <c r="E26" s="73" t="s">
        <v>217</v>
      </c>
      <c r="F26" s="74"/>
      <c r="G26" s="74"/>
      <c r="H26" s="24" t="s">
        <v>44</v>
      </c>
      <c r="I26" s="25"/>
      <c r="J26" s="25"/>
      <c r="K26" s="24" t="s">
        <v>44</v>
      </c>
      <c r="L26" s="25"/>
      <c r="M26" s="25"/>
    </row>
    <row r="27" spans="2:14" ht="110.25" customHeight="1" x14ac:dyDescent="0.3">
      <c r="B27" s="66"/>
      <c r="C27" s="27" t="s">
        <v>65</v>
      </c>
      <c r="D27" s="28" t="s">
        <v>67</v>
      </c>
      <c r="E27" s="73" t="s">
        <v>55</v>
      </c>
      <c r="F27" s="74"/>
      <c r="G27" s="74"/>
      <c r="H27" s="24" t="s">
        <v>44</v>
      </c>
      <c r="I27" s="25"/>
      <c r="J27" s="25"/>
      <c r="K27" s="24" t="s">
        <v>44</v>
      </c>
      <c r="L27" s="25"/>
      <c r="M27" s="25"/>
    </row>
    <row r="28" spans="2:14" ht="62.45" customHeight="1" x14ac:dyDescent="0.3">
      <c r="B28" s="66"/>
      <c r="C28" s="27" t="s">
        <v>65</v>
      </c>
      <c r="D28" s="28" t="s">
        <v>68</v>
      </c>
      <c r="E28" s="73" t="s">
        <v>69</v>
      </c>
      <c r="F28" s="74"/>
      <c r="G28" s="74"/>
      <c r="H28" s="24" t="s">
        <v>44</v>
      </c>
      <c r="I28" s="25"/>
      <c r="J28" s="25"/>
      <c r="K28" s="24" t="s">
        <v>44</v>
      </c>
      <c r="L28" s="25"/>
      <c r="M28" s="25"/>
    </row>
    <row r="29" spans="2:14" ht="58.5" customHeight="1" x14ac:dyDescent="0.3">
      <c r="B29" s="66"/>
      <c r="C29" s="27" t="s">
        <v>65</v>
      </c>
      <c r="D29" s="29" t="s">
        <v>70</v>
      </c>
      <c r="E29" s="73" t="s">
        <v>71</v>
      </c>
      <c r="F29" s="74"/>
      <c r="G29" s="74"/>
      <c r="H29" s="24" t="s">
        <v>44</v>
      </c>
      <c r="I29" s="25"/>
      <c r="J29" s="25"/>
      <c r="K29" s="24" t="s">
        <v>44</v>
      </c>
      <c r="L29" s="25"/>
      <c r="M29" s="25"/>
    </row>
    <row r="30" spans="2:14" ht="50.25" customHeight="1" x14ac:dyDescent="0.3">
      <c r="B30" s="66"/>
      <c r="C30" s="27" t="s">
        <v>72</v>
      </c>
      <c r="D30" s="28" t="s">
        <v>73</v>
      </c>
      <c r="E30" s="73" t="s">
        <v>74</v>
      </c>
      <c r="F30" s="73"/>
      <c r="G30" s="73"/>
      <c r="H30" s="24" t="s">
        <v>44</v>
      </c>
      <c r="I30" s="55"/>
      <c r="J30" s="25"/>
      <c r="K30" s="24" t="s">
        <v>44</v>
      </c>
      <c r="L30" s="55"/>
      <c r="M30" s="45"/>
    </row>
    <row r="31" spans="2:14" ht="80.45" customHeight="1" x14ac:dyDescent="0.3">
      <c r="B31" s="66"/>
      <c r="C31" s="30" t="s">
        <v>75</v>
      </c>
      <c r="D31" s="28" t="s">
        <v>76</v>
      </c>
      <c r="E31" s="73" t="s">
        <v>77</v>
      </c>
      <c r="F31" s="73"/>
      <c r="G31" s="73"/>
      <c r="H31" s="24" t="s">
        <v>44</v>
      </c>
      <c r="I31" s="55"/>
      <c r="J31" s="45"/>
      <c r="K31" s="24" t="s">
        <v>44</v>
      </c>
      <c r="L31" s="55"/>
      <c r="M31" s="60"/>
    </row>
    <row r="32" spans="2:14" ht="74.45" customHeight="1" x14ac:dyDescent="0.3">
      <c r="B32" s="66"/>
      <c r="C32" s="27" t="s">
        <v>65</v>
      </c>
      <c r="D32" s="29" t="s">
        <v>78</v>
      </c>
      <c r="E32" s="73" t="s">
        <v>79</v>
      </c>
      <c r="F32" s="74"/>
      <c r="G32" s="74"/>
      <c r="H32" s="24" t="s">
        <v>44</v>
      </c>
      <c r="I32" s="25"/>
      <c r="J32" s="25"/>
      <c r="K32" s="24" t="s">
        <v>44</v>
      </c>
      <c r="L32" s="25"/>
      <c r="M32" s="25"/>
    </row>
    <row r="33" spans="2:13" ht="30.75" customHeight="1" x14ac:dyDescent="0.3">
      <c r="B33" s="66"/>
      <c r="C33" s="27" t="s">
        <v>65</v>
      </c>
      <c r="D33" s="28" t="s">
        <v>78</v>
      </c>
      <c r="E33" s="73" t="s">
        <v>80</v>
      </c>
      <c r="F33" s="74"/>
      <c r="G33" s="74"/>
      <c r="H33" s="24" t="s">
        <v>44</v>
      </c>
      <c r="I33" s="25"/>
      <c r="J33" s="25"/>
      <c r="K33" s="24" t="s">
        <v>44</v>
      </c>
      <c r="L33" s="25"/>
      <c r="M33" s="25"/>
    </row>
    <row r="34" spans="2:13" ht="254.1" customHeight="1" x14ac:dyDescent="0.3">
      <c r="B34" s="66"/>
      <c r="C34" s="30" t="s">
        <v>81</v>
      </c>
      <c r="D34" s="28" t="s">
        <v>82</v>
      </c>
      <c r="E34" s="73" t="s">
        <v>207</v>
      </c>
      <c r="F34" s="74"/>
      <c r="G34" s="74"/>
      <c r="H34" s="24" t="s">
        <v>44</v>
      </c>
      <c r="I34" s="55"/>
      <c r="J34" s="56"/>
      <c r="K34" s="24" t="s">
        <v>44</v>
      </c>
      <c r="L34" s="55"/>
      <c r="M34" s="45"/>
    </row>
    <row r="35" spans="2:13" ht="92.25" customHeight="1" x14ac:dyDescent="0.3">
      <c r="B35" s="66"/>
      <c r="C35" s="30" t="s">
        <v>83</v>
      </c>
      <c r="D35" s="28" t="s">
        <v>84</v>
      </c>
      <c r="E35" s="73" t="s">
        <v>85</v>
      </c>
      <c r="F35" s="74"/>
      <c r="G35" s="74"/>
      <c r="H35" s="24" t="s">
        <v>44</v>
      </c>
      <c r="I35" s="55"/>
      <c r="J35" s="25"/>
      <c r="K35" s="24" t="s">
        <v>44</v>
      </c>
      <c r="L35" s="25"/>
      <c r="M35" s="25"/>
    </row>
    <row r="36" spans="2:13" ht="168" customHeight="1" x14ac:dyDescent="0.3">
      <c r="B36" s="66"/>
      <c r="C36" s="27" t="s">
        <v>86</v>
      </c>
      <c r="D36" s="28" t="s">
        <v>87</v>
      </c>
      <c r="E36" s="89" t="s">
        <v>218</v>
      </c>
      <c r="F36" s="90"/>
      <c r="G36" s="90"/>
      <c r="H36" s="24" t="s">
        <v>44</v>
      </c>
      <c r="I36" s="55"/>
      <c r="J36" s="31"/>
      <c r="K36" s="24" t="s">
        <v>44</v>
      </c>
      <c r="L36" s="32"/>
      <c r="M36" s="32"/>
    </row>
    <row r="37" spans="2:13" ht="108.75" customHeight="1" x14ac:dyDescent="0.3">
      <c r="B37" s="66"/>
      <c r="C37" s="27" t="s">
        <v>88</v>
      </c>
      <c r="D37" s="28" t="s">
        <v>89</v>
      </c>
      <c r="E37" s="89" t="s">
        <v>199</v>
      </c>
      <c r="F37" s="90"/>
      <c r="G37" s="90"/>
      <c r="H37" s="24" t="s">
        <v>44</v>
      </c>
      <c r="I37" s="58"/>
      <c r="J37" s="31"/>
      <c r="K37" s="24" t="s">
        <v>44</v>
      </c>
      <c r="L37" s="32"/>
      <c r="M37" s="32"/>
    </row>
    <row r="38" spans="2:13" ht="79.5" customHeight="1" x14ac:dyDescent="0.3">
      <c r="B38" s="66"/>
      <c r="C38" s="30" t="s">
        <v>200</v>
      </c>
      <c r="D38" s="28" t="s">
        <v>202</v>
      </c>
      <c r="E38" s="90" t="s">
        <v>201</v>
      </c>
      <c r="F38" s="91"/>
      <c r="G38" s="91"/>
      <c r="H38" s="24" t="s">
        <v>44</v>
      </c>
      <c r="I38" s="58"/>
      <c r="J38" s="31"/>
      <c r="K38" s="24" t="s">
        <v>44</v>
      </c>
      <c r="L38" s="32"/>
      <c r="M38" s="32"/>
    </row>
    <row r="39" spans="2:13" ht="204.75" customHeight="1" x14ac:dyDescent="0.3">
      <c r="B39" s="67" t="s">
        <v>203</v>
      </c>
      <c r="C39" s="34" t="s">
        <v>90</v>
      </c>
      <c r="D39" s="28" t="s">
        <v>91</v>
      </c>
      <c r="E39" s="73" t="s">
        <v>92</v>
      </c>
      <c r="F39" s="73"/>
      <c r="G39" s="73"/>
      <c r="H39" s="24" t="s">
        <v>44</v>
      </c>
      <c r="I39" s="45"/>
      <c r="J39" s="45"/>
      <c r="K39" s="24" t="s">
        <v>44</v>
      </c>
      <c r="L39" s="55"/>
      <c r="M39" s="56"/>
    </row>
    <row r="40" spans="2:13" ht="116.45" customHeight="1" x14ac:dyDescent="0.3">
      <c r="B40" s="67"/>
      <c r="C40" s="33" t="s">
        <v>93</v>
      </c>
      <c r="D40" s="28" t="s">
        <v>94</v>
      </c>
      <c r="E40" s="73" t="s">
        <v>95</v>
      </c>
      <c r="F40" s="73"/>
      <c r="G40" s="73"/>
      <c r="H40" s="24" t="s">
        <v>44</v>
      </c>
      <c r="I40" s="45"/>
      <c r="J40" s="45"/>
      <c r="K40" s="24" t="s">
        <v>44</v>
      </c>
      <c r="L40" s="55"/>
      <c r="M40" s="56"/>
    </row>
    <row r="41" spans="2:13" ht="79.5" customHeight="1" x14ac:dyDescent="0.3">
      <c r="B41" s="67"/>
      <c r="C41" s="33" t="s">
        <v>96</v>
      </c>
      <c r="D41" s="28" t="s">
        <v>205</v>
      </c>
      <c r="E41" s="73" t="s">
        <v>204</v>
      </c>
      <c r="F41" s="74"/>
      <c r="G41" s="74"/>
      <c r="H41" s="24" t="s">
        <v>44</v>
      </c>
      <c r="I41" s="45"/>
      <c r="J41" s="25"/>
      <c r="K41" s="24" t="s">
        <v>44</v>
      </c>
      <c r="L41" s="25"/>
      <c r="M41" s="59"/>
    </row>
    <row r="42" spans="2:13" ht="48.75" customHeight="1" x14ac:dyDescent="0.3">
      <c r="B42" s="66" t="s">
        <v>97</v>
      </c>
      <c r="C42" s="35" t="s">
        <v>98</v>
      </c>
      <c r="D42" s="23" t="s">
        <v>99</v>
      </c>
      <c r="E42" s="73" t="s">
        <v>100</v>
      </c>
      <c r="F42" s="73"/>
      <c r="G42" s="73"/>
      <c r="H42" s="24" t="s">
        <v>44</v>
      </c>
      <c r="I42" s="45"/>
      <c r="J42" s="53"/>
      <c r="K42" s="24" t="s">
        <v>44</v>
      </c>
      <c r="L42" s="55"/>
      <c r="M42" s="25"/>
    </row>
    <row r="43" spans="2:13" ht="39" customHeight="1" x14ac:dyDescent="0.3">
      <c r="B43" s="66"/>
      <c r="C43" s="36" t="s">
        <v>101</v>
      </c>
      <c r="D43" s="29" t="s">
        <v>102</v>
      </c>
      <c r="E43" s="73" t="s">
        <v>103</v>
      </c>
      <c r="F43" s="73"/>
      <c r="G43" s="73"/>
      <c r="H43" s="24" t="s">
        <v>44</v>
      </c>
      <c r="I43" s="25"/>
      <c r="J43" s="25"/>
      <c r="K43" s="24" t="s">
        <v>44</v>
      </c>
      <c r="L43" s="25"/>
      <c r="M43" s="25"/>
    </row>
    <row r="44" spans="2:13" ht="71.099999999999994" customHeight="1" x14ac:dyDescent="0.3">
      <c r="B44" s="66"/>
      <c r="C44" s="36" t="s">
        <v>101</v>
      </c>
      <c r="D44" s="29" t="s">
        <v>104</v>
      </c>
      <c r="E44" s="73" t="s">
        <v>219</v>
      </c>
      <c r="F44" s="73"/>
      <c r="G44" s="73"/>
      <c r="H44" s="24" t="s">
        <v>44</v>
      </c>
      <c r="I44" s="45"/>
      <c r="J44" s="46"/>
      <c r="K44" s="24" t="s">
        <v>44</v>
      </c>
      <c r="L44" s="55"/>
      <c r="M44" s="25"/>
    </row>
    <row r="45" spans="2:13" ht="41.25" customHeight="1" x14ac:dyDescent="0.3">
      <c r="B45" s="66"/>
      <c r="C45" s="36" t="s">
        <v>101</v>
      </c>
      <c r="D45" s="28" t="s">
        <v>105</v>
      </c>
      <c r="E45" s="73" t="s">
        <v>106</v>
      </c>
      <c r="F45" s="73"/>
      <c r="G45" s="73"/>
      <c r="H45" s="24" t="s">
        <v>44</v>
      </c>
      <c r="I45" s="45"/>
      <c r="J45" s="53"/>
      <c r="K45" s="24" t="s">
        <v>44</v>
      </c>
      <c r="L45" s="55"/>
      <c r="M45" s="25"/>
    </row>
    <row r="46" spans="2:13" ht="41.25" customHeight="1" x14ac:dyDescent="0.3">
      <c r="B46" s="66"/>
      <c r="C46" s="35" t="s">
        <v>107</v>
      </c>
      <c r="D46" s="23" t="s">
        <v>108</v>
      </c>
      <c r="E46" s="73" t="s">
        <v>198</v>
      </c>
      <c r="F46" s="74"/>
      <c r="G46" s="74"/>
      <c r="H46" s="24" t="s">
        <v>44</v>
      </c>
      <c r="I46" s="45"/>
      <c r="J46" s="49"/>
      <c r="K46" s="24" t="s">
        <v>44</v>
      </c>
      <c r="L46" s="55"/>
      <c r="M46" s="25"/>
    </row>
    <row r="47" spans="2:13" ht="121.5" customHeight="1" x14ac:dyDescent="0.3">
      <c r="B47" s="66"/>
      <c r="C47" s="35" t="s">
        <v>107</v>
      </c>
      <c r="D47" s="23" t="s">
        <v>211</v>
      </c>
      <c r="E47" s="73" t="s">
        <v>212</v>
      </c>
      <c r="F47" s="74"/>
      <c r="G47" s="74"/>
      <c r="H47" s="24" t="s">
        <v>44</v>
      </c>
      <c r="I47" s="45"/>
      <c r="J47" s="49"/>
      <c r="K47" s="24" t="s">
        <v>44</v>
      </c>
      <c r="L47" s="55"/>
      <c r="M47" s="25"/>
    </row>
    <row r="48" spans="2:13" ht="29.25" customHeight="1" x14ac:dyDescent="0.3">
      <c r="B48" s="66" t="s">
        <v>109</v>
      </c>
      <c r="C48" s="36" t="s">
        <v>110</v>
      </c>
      <c r="D48" s="28" t="s">
        <v>111</v>
      </c>
      <c r="E48" s="89" t="s">
        <v>112</v>
      </c>
      <c r="F48" s="89"/>
      <c r="G48" s="89"/>
      <c r="H48" s="24" t="s">
        <v>44</v>
      </c>
      <c r="I48" s="45"/>
      <c r="J48" s="49"/>
      <c r="K48" s="24" t="s">
        <v>44</v>
      </c>
      <c r="L48" s="55"/>
      <c r="M48" s="32"/>
    </row>
    <row r="49" spans="2:13" ht="72.95" customHeight="1" x14ac:dyDescent="0.3">
      <c r="B49" s="66"/>
      <c r="C49" s="36" t="s">
        <v>113</v>
      </c>
      <c r="D49" s="28" t="s">
        <v>114</v>
      </c>
      <c r="E49" s="89" t="s">
        <v>115</v>
      </c>
      <c r="F49" s="89"/>
      <c r="G49" s="89"/>
      <c r="H49" s="24" t="s">
        <v>44</v>
      </c>
      <c r="I49" s="31"/>
      <c r="J49" s="32"/>
      <c r="K49" s="24" t="s">
        <v>44</v>
      </c>
      <c r="L49" s="32"/>
      <c r="M49" s="32"/>
    </row>
    <row r="50" spans="2:13" ht="100.5" customHeight="1" x14ac:dyDescent="0.3">
      <c r="B50" s="66"/>
      <c r="C50" s="36" t="s">
        <v>116</v>
      </c>
      <c r="D50" s="28" t="s">
        <v>117</v>
      </c>
      <c r="E50" s="89" t="s">
        <v>206</v>
      </c>
      <c r="F50" s="89"/>
      <c r="G50" s="89"/>
      <c r="H50" s="24" t="s">
        <v>44</v>
      </c>
      <c r="I50" s="31"/>
      <c r="J50" s="32"/>
      <c r="K50" s="24" t="s">
        <v>44</v>
      </c>
      <c r="L50" s="32"/>
      <c r="M50" s="32"/>
    </row>
    <row r="51" spans="2:13" ht="17.25" customHeight="1" x14ac:dyDescent="0.3">
      <c r="B51" s="66"/>
      <c r="C51" s="36" t="s">
        <v>118</v>
      </c>
      <c r="D51" s="28" t="s">
        <v>119</v>
      </c>
      <c r="E51" s="89" t="s">
        <v>120</v>
      </c>
      <c r="F51" s="89"/>
      <c r="G51" s="89"/>
      <c r="H51" s="24" t="s">
        <v>44</v>
      </c>
      <c r="I51" s="31"/>
      <c r="J51" s="32"/>
      <c r="K51" s="24" t="s">
        <v>44</v>
      </c>
      <c r="L51" s="32"/>
      <c r="M51" s="32"/>
    </row>
    <row r="52" spans="2:13" ht="87" customHeight="1" x14ac:dyDescent="0.3">
      <c r="B52" s="66"/>
      <c r="C52" s="37" t="s">
        <v>121</v>
      </c>
      <c r="D52" s="28" t="s">
        <v>122</v>
      </c>
      <c r="E52" s="89" t="s">
        <v>208</v>
      </c>
      <c r="F52" s="89"/>
      <c r="G52" s="89"/>
      <c r="H52" s="24" t="s">
        <v>44</v>
      </c>
      <c r="I52" s="45"/>
      <c r="J52" s="49"/>
      <c r="K52" s="24" t="s">
        <v>44</v>
      </c>
      <c r="L52" s="55"/>
      <c r="M52" s="32"/>
    </row>
    <row r="53" spans="2:13" ht="75" customHeight="1" x14ac:dyDescent="0.3">
      <c r="B53" s="66"/>
      <c r="C53" s="37" t="s">
        <v>123</v>
      </c>
      <c r="D53" s="28" t="s">
        <v>124</v>
      </c>
      <c r="E53" s="89" t="s">
        <v>125</v>
      </c>
      <c r="F53" s="89"/>
      <c r="G53" s="89"/>
      <c r="H53" s="24" t="s">
        <v>44</v>
      </c>
      <c r="I53" s="45"/>
      <c r="J53" s="50"/>
      <c r="K53" s="24" t="s">
        <v>44</v>
      </c>
      <c r="L53" s="55"/>
      <c r="M53" s="56"/>
    </row>
    <row r="54" spans="2:13" ht="36" x14ac:dyDescent="0.3">
      <c r="B54" s="66"/>
      <c r="C54" s="37" t="s">
        <v>126</v>
      </c>
      <c r="D54" s="28" t="s">
        <v>127</v>
      </c>
      <c r="E54" s="89" t="s">
        <v>128</v>
      </c>
      <c r="F54" s="89"/>
      <c r="G54" s="89"/>
      <c r="H54" s="24" t="s">
        <v>44</v>
      </c>
      <c r="I54" s="45"/>
      <c r="J54" s="49"/>
      <c r="K54" s="24" t="s">
        <v>44</v>
      </c>
      <c r="L54" s="55"/>
      <c r="M54" s="56"/>
    </row>
    <row r="55" spans="2:13" ht="43.5" customHeight="1" x14ac:dyDescent="0.3">
      <c r="B55" s="66"/>
      <c r="C55" s="37" t="s">
        <v>129</v>
      </c>
      <c r="D55" s="28" t="s">
        <v>130</v>
      </c>
      <c r="E55" s="89" t="s">
        <v>131</v>
      </c>
      <c r="F55" s="89"/>
      <c r="G55" s="89"/>
      <c r="H55" s="24" t="s">
        <v>44</v>
      </c>
      <c r="I55" s="31"/>
      <c r="J55" s="32"/>
      <c r="K55" s="24" t="s">
        <v>44</v>
      </c>
      <c r="L55" s="32"/>
      <c r="M55" s="32"/>
    </row>
    <row r="56" spans="2:13" ht="101.45" customHeight="1" x14ac:dyDescent="0.3">
      <c r="B56" s="66"/>
      <c r="C56" s="37" t="s">
        <v>132</v>
      </c>
      <c r="D56" s="28" t="s">
        <v>133</v>
      </c>
      <c r="E56" s="89" t="s">
        <v>220</v>
      </c>
      <c r="F56" s="89"/>
      <c r="G56" s="89"/>
      <c r="H56" s="24" t="s">
        <v>44</v>
      </c>
      <c r="I56" s="45"/>
      <c r="J56" s="32"/>
      <c r="K56" s="24" t="s">
        <v>44</v>
      </c>
      <c r="L56" s="55"/>
      <c r="M56" s="63"/>
    </row>
    <row r="57" spans="2:13" ht="230.25" customHeight="1" x14ac:dyDescent="0.3">
      <c r="B57" s="66"/>
      <c r="C57" s="36" t="s">
        <v>134</v>
      </c>
      <c r="D57" s="28" t="s">
        <v>135</v>
      </c>
      <c r="E57" s="73" t="s">
        <v>223</v>
      </c>
      <c r="F57" s="74"/>
      <c r="G57" s="74"/>
      <c r="H57" s="24" t="s">
        <v>44</v>
      </c>
      <c r="I57" s="45"/>
      <c r="J57" s="49"/>
      <c r="K57" s="24" t="s">
        <v>44</v>
      </c>
      <c r="L57" s="55"/>
      <c r="M57" s="25"/>
    </row>
    <row r="58" spans="2:13" ht="48.75" customHeight="1" x14ac:dyDescent="0.3">
      <c r="B58" s="66"/>
      <c r="C58" s="36" t="s">
        <v>136</v>
      </c>
      <c r="D58" s="29" t="s">
        <v>137</v>
      </c>
      <c r="E58" s="73" t="s">
        <v>138</v>
      </c>
      <c r="F58" s="73"/>
      <c r="G58" s="73"/>
      <c r="H58" s="24" t="s">
        <v>44</v>
      </c>
      <c r="I58" s="45"/>
      <c r="J58" s="53"/>
      <c r="K58" s="24" t="s">
        <v>44</v>
      </c>
      <c r="L58" s="55"/>
      <c r="M58" s="25"/>
    </row>
    <row r="59" spans="2:13" ht="48" customHeight="1" x14ac:dyDescent="0.3">
      <c r="B59" s="66"/>
      <c r="C59" s="36" t="s">
        <v>139</v>
      </c>
      <c r="D59" s="29" t="s">
        <v>140</v>
      </c>
      <c r="E59" s="73" t="s">
        <v>141</v>
      </c>
      <c r="F59" s="73"/>
      <c r="G59" s="73"/>
      <c r="H59" s="24" t="s">
        <v>44</v>
      </c>
      <c r="I59" s="25"/>
      <c r="J59" s="25"/>
      <c r="K59" s="24" t="s">
        <v>44</v>
      </c>
      <c r="L59" s="25"/>
      <c r="M59" s="56"/>
    </row>
    <row r="60" spans="2:13" ht="64.5" customHeight="1" x14ac:dyDescent="0.3">
      <c r="B60" s="66"/>
      <c r="C60" s="36" t="s">
        <v>139</v>
      </c>
      <c r="D60" s="29" t="s">
        <v>142</v>
      </c>
      <c r="E60" s="73" t="s">
        <v>143</v>
      </c>
      <c r="F60" s="73"/>
      <c r="G60" s="73"/>
      <c r="H60" s="24" t="s">
        <v>44</v>
      </c>
      <c r="I60" s="25"/>
      <c r="J60" s="25"/>
      <c r="K60" s="24" t="s">
        <v>44</v>
      </c>
      <c r="L60" s="25"/>
      <c r="M60" s="56"/>
    </row>
    <row r="61" spans="2:13" ht="49.5" customHeight="1" x14ac:dyDescent="0.3">
      <c r="B61" s="66"/>
      <c r="C61" s="36" t="s">
        <v>139</v>
      </c>
      <c r="D61" s="28" t="s">
        <v>144</v>
      </c>
      <c r="E61" s="73" t="s">
        <v>209</v>
      </c>
      <c r="F61" s="73"/>
      <c r="G61" s="73"/>
      <c r="H61" s="24" t="s">
        <v>44</v>
      </c>
      <c r="I61" s="25"/>
      <c r="J61" s="25"/>
      <c r="K61" s="24" t="s">
        <v>44</v>
      </c>
      <c r="L61" s="25"/>
      <c r="M61" s="56"/>
    </row>
    <row r="62" spans="2:13" ht="75.95" customHeight="1" x14ac:dyDescent="0.3">
      <c r="B62" s="66"/>
      <c r="C62" s="35" t="s">
        <v>145</v>
      </c>
      <c r="D62" s="38" t="s">
        <v>221</v>
      </c>
      <c r="E62" s="73" t="s">
        <v>222</v>
      </c>
      <c r="F62" s="74"/>
      <c r="G62" s="74"/>
      <c r="H62" s="24" t="s">
        <v>44</v>
      </c>
      <c r="I62" s="45"/>
      <c r="J62" s="53"/>
      <c r="K62" s="24" t="s">
        <v>44</v>
      </c>
      <c r="L62" s="55"/>
      <c r="M62" s="59"/>
    </row>
    <row r="63" spans="2:13" ht="51.75" customHeight="1" x14ac:dyDescent="0.3">
      <c r="B63" s="66"/>
      <c r="C63" s="35" t="s">
        <v>146</v>
      </c>
      <c r="D63" s="38" t="s">
        <v>147</v>
      </c>
      <c r="E63" s="73" t="s">
        <v>148</v>
      </c>
      <c r="F63" s="73"/>
      <c r="G63" s="73"/>
      <c r="H63" s="24" t="s">
        <v>44</v>
      </c>
      <c r="I63" s="25"/>
      <c r="J63" s="25"/>
      <c r="K63" s="24" t="s">
        <v>44</v>
      </c>
      <c r="L63" s="25"/>
      <c r="M63" s="25"/>
    </row>
    <row r="64" spans="2:13" ht="81" customHeight="1" x14ac:dyDescent="0.3">
      <c r="B64" s="66"/>
      <c r="C64" s="36" t="s">
        <v>134</v>
      </c>
      <c r="D64" s="28" t="s">
        <v>149</v>
      </c>
      <c r="E64" s="73" t="s">
        <v>210</v>
      </c>
      <c r="F64" s="74"/>
      <c r="G64" s="74"/>
      <c r="H64" s="24" t="s">
        <v>44</v>
      </c>
      <c r="I64" s="45"/>
      <c r="J64" s="49"/>
      <c r="K64" s="24" t="s">
        <v>44</v>
      </c>
      <c r="L64" s="55"/>
      <c r="M64" s="62"/>
    </row>
    <row r="65" spans="2:13" ht="134.1" customHeight="1" x14ac:dyDescent="0.3">
      <c r="B65" s="66"/>
      <c r="C65" s="36" t="s">
        <v>150</v>
      </c>
      <c r="D65" s="29" t="s">
        <v>151</v>
      </c>
      <c r="E65" s="73" t="s">
        <v>213</v>
      </c>
      <c r="F65" s="74"/>
      <c r="G65" s="74"/>
      <c r="H65" s="24" t="s">
        <v>44</v>
      </c>
      <c r="I65" s="45"/>
      <c r="J65" s="53"/>
      <c r="K65" s="24" t="s">
        <v>44</v>
      </c>
      <c r="L65" s="55"/>
      <c r="M65" s="25"/>
    </row>
    <row r="66" spans="2:13" ht="27" x14ac:dyDescent="0.3">
      <c r="B66" s="66"/>
      <c r="C66" s="37" t="s">
        <v>214</v>
      </c>
      <c r="D66" s="28" t="s">
        <v>152</v>
      </c>
      <c r="E66" s="73" t="s">
        <v>215</v>
      </c>
      <c r="F66" s="74"/>
      <c r="G66" s="74"/>
      <c r="H66" s="24" t="s">
        <v>44</v>
      </c>
      <c r="I66" s="45"/>
      <c r="J66" s="61"/>
      <c r="K66" s="24" t="s">
        <v>44</v>
      </c>
      <c r="L66" s="55"/>
      <c r="M66" s="60"/>
    </row>
    <row r="67" spans="2:13" ht="92.25" customHeight="1" x14ac:dyDescent="0.3">
      <c r="B67" s="26" t="s">
        <v>153</v>
      </c>
      <c r="C67" s="39" t="s">
        <v>154</v>
      </c>
      <c r="D67" s="28" t="s">
        <v>155</v>
      </c>
      <c r="E67" s="89" t="s">
        <v>156</v>
      </c>
      <c r="F67" s="91"/>
      <c r="G67" s="91"/>
      <c r="H67" s="24" t="s">
        <v>44</v>
      </c>
      <c r="I67" s="45"/>
      <c r="J67" s="32"/>
      <c r="K67" s="24" t="s">
        <v>44</v>
      </c>
      <c r="L67" s="55"/>
      <c r="M67" s="60"/>
    </row>
    <row r="68" spans="2:13" ht="27" x14ac:dyDescent="0.3">
      <c r="B68" s="66" t="s">
        <v>157</v>
      </c>
      <c r="C68" s="22" t="s">
        <v>158</v>
      </c>
      <c r="D68" s="28" t="s">
        <v>159</v>
      </c>
      <c r="E68" s="89" t="s">
        <v>160</v>
      </c>
      <c r="F68" s="91"/>
      <c r="G68" s="91"/>
      <c r="H68" s="24" t="s">
        <v>44</v>
      </c>
      <c r="I68" s="31"/>
      <c r="J68" s="32"/>
      <c r="K68" s="24" t="s">
        <v>44</v>
      </c>
      <c r="L68" s="32"/>
      <c r="M68" s="32"/>
    </row>
    <row r="69" spans="2:13" ht="24" x14ac:dyDescent="0.3">
      <c r="B69" s="66"/>
      <c r="C69" s="39" t="s">
        <v>161</v>
      </c>
      <c r="D69" s="28" t="s">
        <v>162</v>
      </c>
      <c r="E69" s="89" t="s">
        <v>163</v>
      </c>
      <c r="F69" s="91"/>
      <c r="G69" s="91"/>
      <c r="H69" s="24" t="s">
        <v>44</v>
      </c>
      <c r="I69" s="31"/>
      <c r="J69" s="32"/>
      <c r="K69" s="24" t="s">
        <v>44</v>
      </c>
      <c r="L69" s="32"/>
      <c r="M69" s="32"/>
    </row>
    <row r="70" spans="2:13" ht="57.95" customHeight="1" x14ac:dyDescent="0.3">
      <c r="B70" s="66"/>
      <c r="C70" s="39" t="s">
        <v>164</v>
      </c>
      <c r="D70" s="28" t="s">
        <v>165</v>
      </c>
      <c r="E70" s="89" t="s">
        <v>166</v>
      </c>
      <c r="F70" s="91"/>
      <c r="G70" s="91"/>
      <c r="H70" s="24" t="s">
        <v>44</v>
      </c>
      <c r="I70" s="31"/>
      <c r="J70" s="32"/>
      <c r="K70" s="24" t="s">
        <v>44</v>
      </c>
      <c r="L70" s="32"/>
      <c r="M70" s="32"/>
    </row>
  </sheetData>
  <mergeCells count="96">
    <mergeCell ref="E66:G66"/>
    <mergeCell ref="E65:G65"/>
    <mergeCell ref="E62:G62"/>
    <mergeCell ref="E64:G64"/>
    <mergeCell ref="I14:J14"/>
    <mergeCell ref="E19:G19"/>
    <mergeCell ref="E26:G26"/>
    <mergeCell ref="E45:G45"/>
    <mergeCell ref="E23:G23"/>
    <mergeCell ref="E56:G56"/>
    <mergeCell ref="E48:G48"/>
    <mergeCell ref="E49:G49"/>
    <mergeCell ref="E50:G50"/>
    <mergeCell ref="E51:G51"/>
    <mergeCell ref="E47:G47"/>
    <mergeCell ref="E46:G46"/>
    <mergeCell ref="B68:B70"/>
    <mergeCell ref="E59:G59"/>
    <mergeCell ref="E61:G61"/>
    <mergeCell ref="E60:G60"/>
    <mergeCell ref="E58:G58"/>
    <mergeCell ref="B48:B66"/>
    <mergeCell ref="E67:G67"/>
    <mergeCell ref="E68:G68"/>
    <mergeCell ref="E69:G69"/>
    <mergeCell ref="E70:G70"/>
    <mergeCell ref="E52:G52"/>
    <mergeCell ref="E53:G53"/>
    <mergeCell ref="E54:G54"/>
    <mergeCell ref="E63:G63"/>
    <mergeCell ref="E57:G57"/>
    <mergeCell ref="E55:G55"/>
    <mergeCell ref="H4:M4"/>
    <mergeCell ref="E43:G43"/>
    <mergeCell ref="E5:G5"/>
    <mergeCell ref="E6:G6"/>
    <mergeCell ref="E7:G7"/>
    <mergeCell ref="E8:G8"/>
    <mergeCell ref="E9:G9"/>
    <mergeCell ref="E17:G18"/>
    <mergeCell ref="H17:J17"/>
    <mergeCell ref="K17:M17"/>
    <mergeCell ref="E20:G20"/>
    <mergeCell ref="E21:G21"/>
    <mergeCell ref="E40:G40"/>
    <mergeCell ref="E42:G42"/>
    <mergeCell ref="H9:H13"/>
    <mergeCell ref="K9:K13"/>
    <mergeCell ref="B4:D4"/>
    <mergeCell ref="B17:B18"/>
    <mergeCell ref="D17:D18"/>
    <mergeCell ref="E4:G4"/>
    <mergeCell ref="E30:G30"/>
    <mergeCell ref="B22:B38"/>
    <mergeCell ref="E37:G37"/>
    <mergeCell ref="E35:G35"/>
    <mergeCell ref="E38:G38"/>
    <mergeCell ref="E36:G36"/>
    <mergeCell ref="E32:G32"/>
    <mergeCell ref="E34:G34"/>
    <mergeCell ref="E29:G29"/>
    <mergeCell ref="E28:G28"/>
    <mergeCell ref="E22:G22"/>
    <mergeCell ref="E24:G24"/>
    <mergeCell ref="L9:M13"/>
    <mergeCell ref="L5:M5"/>
    <mergeCell ref="L6:M6"/>
    <mergeCell ref="I6:J6"/>
    <mergeCell ref="I7:J7"/>
    <mergeCell ref="I8:J8"/>
    <mergeCell ref="L7:M7"/>
    <mergeCell ref="L8:M8"/>
    <mergeCell ref="I5:J5"/>
    <mergeCell ref="C5:D5"/>
    <mergeCell ref="C6:D6"/>
    <mergeCell ref="C9:D9"/>
    <mergeCell ref="C10:D10"/>
    <mergeCell ref="C11:D11"/>
    <mergeCell ref="C7:D7"/>
    <mergeCell ref="C8:D8"/>
    <mergeCell ref="C12:D12"/>
    <mergeCell ref="C13:D13"/>
    <mergeCell ref="B42:B47"/>
    <mergeCell ref="B39:B41"/>
    <mergeCell ref="L14:M14"/>
    <mergeCell ref="L15:M15"/>
    <mergeCell ref="I15:J15"/>
    <mergeCell ref="E31:G31"/>
    <mergeCell ref="E39:G39"/>
    <mergeCell ref="E27:G27"/>
    <mergeCell ref="E25:G25"/>
    <mergeCell ref="E41:G41"/>
    <mergeCell ref="C17:C18"/>
    <mergeCell ref="E44:G44"/>
    <mergeCell ref="E33:G33"/>
    <mergeCell ref="I9:J13"/>
  </mergeCells>
  <phoneticPr fontId="1" type="noConversion"/>
  <conditionalFormatting sqref="H19:H70 K19:K70">
    <cfRule type="cellIs" dxfId="3" priority="1" operator="equal">
      <formula>"N.A"</formula>
    </cfRule>
    <cfRule type="cellIs" dxfId="2" priority="2" operator="equal">
      <formula>"Not yet"</formula>
    </cfRule>
    <cfRule type="cellIs" dxfId="1" priority="3" operator="equal">
      <formula>"NG"</formula>
    </cfRule>
    <cfRule type="cellIs" dxfId="0" priority="4" operator="equal">
      <formula>"PASS"</formula>
    </cfRule>
  </conditionalFormatting>
  <dataValidations disablePrompts="1" count="1">
    <dataValidation type="list" allowBlank="1" showInputMessage="1" showErrorMessage="1" sqref="H19:H70 K19:K70" xr:uid="{2AD2C7E7-B128-487F-A8C2-780457FB038C}">
      <formula1>"PASS,NG,N.A,Not yet,Defer"</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FEA32-B8A4-4B13-8D35-93BCDD329172}">
  <dimension ref="A1:BH307"/>
  <sheetViews>
    <sheetView zoomScale="90" zoomScaleNormal="90" workbookViewId="0">
      <selection activeCell="K22" sqref="K22"/>
    </sheetView>
  </sheetViews>
  <sheetFormatPr defaultColWidth="8.875" defaultRowHeight="16.5" x14ac:dyDescent="0.3"/>
  <sheetData>
    <row r="1" spans="1:26" x14ac:dyDescent="0.3">
      <c r="A1" s="124" t="s">
        <v>167</v>
      </c>
      <c r="B1" s="125"/>
      <c r="C1" s="125"/>
      <c r="D1" s="125"/>
      <c r="E1" s="125"/>
      <c r="F1" s="125"/>
      <c r="G1" s="125"/>
      <c r="H1" s="125"/>
      <c r="I1" s="125"/>
      <c r="J1" s="125"/>
      <c r="K1" s="125"/>
      <c r="L1" s="125"/>
      <c r="M1" s="125"/>
      <c r="N1" s="125"/>
      <c r="O1" s="125"/>
      <c r="P1" s="125"/>
      <c r="Q1" s="125"/>
      <c r="R1" s="125"/>
      <c r="S1" s="125"/>
      <c r="T1" s="125"/>
      <c r="U1" s="125"/>
      <c r="V1" s="125"/>
      <c r="W1" s="125"/>
      <c r="X1" s="125"/>
      <c r="Y1" s="125"/>
      <c r="Z1" s="125"/>
    </row>
    <row r="2" spans="1:26" x14ac:dyDescent="0.3">
      <c r="A2" s="124"/>
      <c r="B2" s="125"/>
      <c r="C2" s="125"/>
      <c r="D2" s="125"/>
      <c r="E2" s="125"/>
      <c r="F2" s="125"/>
      <c r="G2" s="125"/>
      <c r="H2" s="125"/>
      <c r="I2" s="125"/>
      <c r="J2" s="125"/>
      <c r="K2" s="125"/>
      <c r="L2" s="125"/>
      <c r="M2" s="125"/>
      <c r="N2" s="125"/>
      <c r="O2" s="125"/>
      <c r="P2" s="125"/>
      <c r="Q2" s="125"/>
      <c r="R2" s="125"/>
      <c r="S2" s="125"/>
      <c r="T2" s="125"/>
      <c r="U2" s="125"/>
      <c r="V2" s="125"/>
      <c r="W2" s="125"/>
      <c r="X2" s="125"/>
      <c r="Y2" s="125"/>
      <c r="Z2" s="125"/>
    </row>
    <row r="3" spans="1:26" x14ac:dyDescent="0.3">
      <c r="A3" s="124"/>
      <c r="B3" s="125"/>
      <c r="C3" s="125"/>
      <c r="D3" s="125"/>
      <c r="E3" s="125"/>
      <c r="F3" s="125"/>
      <c r="G3" s="125"/>
      <c r="H3" s="125"/>
      <c r="I3" s="125"/>
      <c r="J3" s="125"/>
      <c r="K3" s="125"/>
      <c r="L3" s="125"/>
      <c r="M3" s="125"/>
      <c r="N3" s="125"/>
      <c r="O3" s="125"/>
      <c r="P3" s="125"/>
      <c r="Q3" s="125"/>
      <c r="R3" s="125"/>
      <c r="S3" s="125"/>
      <c r="T3" s="125"/>
      <c r="U3" s="125"/>
      <c r="V3" s="125"/>
      <c r="W3" s="125"/>
      <c r="X3" s="125"/>
      <c r="Y3" s="125"/>
      <c r="Z3" s="125"/>
    </row>
    <row r="5" spans="1:26" x14ac:dyDescent="0.3">
      <c r="B5" s="44" t="s">
        <v>168</v>
      </c>
    </row>
    <row r="53" spans="2:2" x14ac:dyDescent="0.3">
      <c r="B53" s="44" t="s">
        <v>169</v>
      </c>
    </row>
    <row r="81" spans="2:2" x14ac:dyDescent="0.3">
      <c r="B81" s="44" t="s">
        <v>170</v>
      </c>
    </row>
    <row r="117" spans="1:26" x14ac:dyDescent="0.3">
      <c r="A117" s="124" t="s">
        <v>109</v>
      </c>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row>
    <row r="118" spans="1:26" x14ac:dyDescent="0.3">
      <c r="A118" s="124"/>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row>
    <row r="119" spans="1:26" x14ac:dyDescent="0.3">
      <c r="A119" s="124"/>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row>
    <row r="122" spans="1:26" x14ac:dyDescent="0.3">
      <c r="B122" s="44" t="s">
        <v>171</v>
      </c>
    </row>
    <row r="150" spans="2:2" x14ac:dyDescent="0.3">
      <c r="B150" s="44" t="s">
        <v>172</v>
      </c>
    </row>
    <row r="200" spans="2:29" x14ac:dyDescent="0.3">
      <c r="B200" s="44" t="s">
        <v>123</v>
      </c>
    </row>
    <row r="201" spans="2:29" x14ac:dyDescent="0.3">
      <c r="C201" s="44"/>
    </row>
    <row r="202" spans="2:29" x14ac:dyDescent="0.3">
      <c r="B202" s="47" t="s">
        <v>173</v>
      </c>
      <c r="R202" s="47" t="s">
        <v>174</v>
      </c>
      <c r="AC202" s="47" t="s">
        <v>175</v>
      </c>
    </row>
    <row r="205" spans="2:29" ht="16.5" customHeight="1" x14ac:dyDescent="0.3"/>
    <row r="206" spans="2:29" ht="21" customHeight="1" x14ac:dyDescent="0.3"/>
    <row r="239" spans="2:20" x14ac:dyDescent="0.3">
      <c r="B239" s="44" t="s">
        <v>176</v>
      </c>
    </row>
    <row r="240" spans="2:20" x14ac:dyDescent="0.3">
      <c r="B240" s="52" t="s">
        <v>177</v>
      </c>
      <c r="K240" s="52" t="s">
        <v>178</v>
      </c>
      <c r="T240" s="52" t="s">
        <v>179</v>
      </c>
    </row>
    <row r="270" spans="2:47" x14ac:dyDescent="0.3">
      <c r="B270" s="44" t="s">
        <v>180</v>
      </c>
    </row>
    <row r="271" spans="2:47" ht="17.25" thickBot="1" x14ac:dyDescent="0.35">
      <c r="B271" s="52" t="s">
        <v>181</v>
      </c>
      <c r="Z271" s="52" t="s">
        <v>182</v>
      </c>
    </row>
    <row r="272" spans="2:47" ht="16.5" customHeight="1" x14ac:dyDescent="0.3">
      <c r="B272" s="51" t="s">
        <v>183</v>
      </c>
      <c r="C272" s="126" t="s">
        <v>184</v>
      </c>
      <c r="D272" s="126"/>
      <c r="E272" s="126"/>
      <c r="F272" s="121" t="s">
        <v>185</v>
      </c>
      <c r="G272" s="121"/>
      <c r="H272" s="121"/>
      <c r="I272" s="121"/>
      <c r="J272" s="121"/>
      <c r="K272" s="121"/>
      <c r="L272" s="121" t="s">
        <v>186</v>
      </c>
      <c r="M272" s="121"/>
      <c r="N272" s="121" t="s">
        <v>187</v>
      </c>
      <c r="O272" s="121"/>
      <c r="P272" s="121"/>
      <c r="Q272" s="121"/>
      <c r="R272" s="121"/>
      <c r="S272" s="121" t="s">
        <v>188</v>
      </c>
      <c r="T272" s="121"/>
      <c r="U272" s="121"/>
      <c r="V272" s="48" t="s">
        <v>189</v>
      </c>
      <c r="W272" s="54" t="s">
        <v>190</v>
      </c>
      <c r="Z272" s="51" t="s">
        <v>183</v>
      </c>
      <c r="AA272" s="126" t="s">
        <v>184</v>
      </c>
      <c r="AB272" s="126"/>
      <c r="AC272" s="126"/>
      <c r="AD272" s="121" t="s">
        <v>185</v>
      </c>
      <c r="AE272" s="121"/>
      <c r="AF272" s="121"/>
      <c r="AG272" s="121"/>
      <c r="AH272" s="121"/>
      <c r="AI272" s="121"/>
      <c r="AJ272" s="121" t="s">
        <v>186</v>
      </c>
      <c r="AK272" s="121"/>
      <c r="AL272" s="121" t="s">
        <v>187</v>
      </c>
      <c r="AM272" s="121"/>
      <c r="AN272" s="121"/>
      <c r="AO272" s="121"/>
      <c r="AP272" s="121"/>
      <c r="AQ272" s="121" t="s">
        <v>188</v>
      </c>
      <c r="AR272" s="121"/>
      <c r="AS272" s="121"/>
      <c r="AT272" s="48" t="s">
        <v>189</v>
      </c>
      <c r="AU272" s="54" t="s">
        <v>190</v>
      </c>
    </row>
    <row r="273" spans="2:47" ht="16.5" customHeight="1" x14ac:dyDescent="0.3">
      <c r="B273" s="127" t="s">
        <v>191</v>
      </c>
      <c r="C273" s="117"/>
      <c r="D273" s="117"/>
      <c r="E273" s="117"/>
      <c r="F273" s="119"/>
      <c r="G273" s="119"/>
      <c r="H273" s="119"/>
      <c r="I273" s="119"/>
      <c r="J273" s="119"/>
      <c r="K273" s="119"/>
      <c r="L273" s="135"/>
      <c r="M273" s="135"/>
      <c r="N273" s="122"/>
      <c r="O273" s="122"/>
      <c r="P273" s="122"/>
      <c r="Q273" s="122"/>
      <c r="R273" s="122"/>
      <c r="S273" s="133"/>
      <c r="T273" s="133"/>
      <c r="U273" s="133"/>
      <c r="V273" s="129"/>
      <c r="W273" s="131"/>
      <c r="Z273" s="127" t="s">
        <v>192</v>
      </c>
      <c r="AA273" s="117"/>
      <c r="AB273" s="117"/>
      <c r="AC273" s="117"/>
      <c r="AD273" s="119"/>
      <c r="AE273" s="119"/>
      <c r="AF273" s="119"/>
      <c r="AG273" s="119"/>
      <c r="AH273" s="119"/>
      <c r="AI273" s="119"/>
      <c r="AJ273" s="135"/>
      <c r="AK273" s="135"/>
      <c r="AL273" s="122"/>
      <c r="AM273" s="122"/>
      <c r="AN273" s="122"/>
      <c r="AO273" s="122"/>
      <c r="AP273" s="122"/>
      <c r="AQ273" s="133"/>
      <c r="AR273" s="133"/>
      <c r="AS273" s="133"/>
      <c r="AT273" s="129"/>
      <c r="AU273" s="131"/>
    </row>
    <row r="274" spans="2:47" ht="17.25" thickBot="1" x14ac:dyDescent="0.35">
      <c r="B274" s="128"/>
      <c r="C274" s="118"/>
      <c r="D274" s="118"/>
      <c r="E274" s="118"/>
      <c r="F274" s="120"/>
      <c r="G274" s="120"/>
      <c r="H274" s="120"/>
      <c r="I274" s="120"/>
      <c r="J274" s="120"/>
      <c r="K274" s="120"/>
      <c r="L274" s="136"/>
      <c r="M274" s="136"/>
      <c r="N274" s="123"/>
      <c r="O274" s="123"/>
      <c r="P274" s="123"/>
      <c r="Q274" s="123"/>
      <c r="R274" s="123"/>
      <c r="S274" s="134"/>
      <c r="T274" s="134"/>
      <c r="U274" s="134"/>
      <c r="V274" s="130"/>
      <c r="W274" s="132"/>
      <c r="Z274" s="128"/>
      <c r="AA274" s="118"/>
      <c r="AB274" s="118"/>
      <c r="AC274" s="118"/>
      <c r="AD274" s="120"/>
      <c r="AE274" s="120"/>
      <c r="AF274" s="120"/>
      <c r="AG274" s="120"/>
      <c r="AH274" s="120"/>
      <c r="AI274" s="120"/>
      <c r="AJ274" s="136"/>
      <c r="AK274" s="136"/>
      <c r="AL274" s="123"/>
      <c r="AM274" s="123"/>
      <c r="AN274" s="123"/>
      <c r="AO274" s="123"/>
      <c r="AP274" s="123"/>
      <c r="AQ274" s="134"/>
      <c r="AR274" s="134"/>
      <c r="AS274" s="134"/>
      <c r="AT274" s="130"/>
      <c r="AU274" s="132"/>
    </row>
    <row r="279" spans="2:47" x14ac:dyDescent="0.3">
      <c r="B279" s="44" t="s">
        <v>193</v>
      </c>
    </row>
    <row r="280" spans="2:47" x14ac:dyDescent="0.3">
      <c r="B280" s="47" t="s">
        <v>194</v>
      </c>
      <c r="AS280" s="52" t="s">
        <v>195</v>
      </c>
    </row>
    <row r="293" spans="60:60" x14ac:dyDescent="0.3">
      <c r="BH293" t="s">
        <v>196</v>
      </c>
    </row>
    <row r="307" spans="2:2" x14ac:dyDescent="0.3">
      <c r="B307" s="44" t="s">
        <v>197</v>
      </c>
    </row>
  </sheetData>
  <mergeCells count="28">
    <mergeCell ref="AT273:AT274"/>
    <mergeCell ref="AU273:AU274"/>
    <mergeCell ref="AA273:AC274"/>
    <mergeCell ref="AD273:AI274"/>
    <mergeCell ref="AJ273:AK274"/>
    <mergeCell ref="AL273:AP274"/>
    <mergeCell ref="AQ273:AS274"/>
    <mergeCell ref="AA272:AC272"/>
    <mergeCell ref="AD272:AI272"/>
    <mergeCell ref="AJ272:AK272"/>
    <mergeCell ref="AL272:AP272"/>
    <mergeCell ref="AQ272:AS272"/>
    <mergeCell ref="C273:E274"/>
    <mergeCell ref="F273:K274"/>
    <mergeCell ref="N272:R272"/>
    <mergeCell ref="N273:R274"/>
    <mergeCell ref="A1:Z3"/>
    <mergeCell ref="A117:Z119"/>
    <mergeCell ref="C272:E272"/>
    <mergeCell ref="F272:K272"/>
    <mergeCell ref="B273:B274"/>
    <mergeCell ref="V273:V274"/>
    <mergeCell ref="W273:W274"/>
    <mergeCell ref="S272:U272"/>
    <mergeCell ref="S273:U274"/>
    <mergeCell ref="L272:M272"/>
    <mergeCell ref="L273:M274"/>
    <mergeCell ref="Z273:Z274"/>
  </mergeCells>
  <phoneticPr fontId="1" type="noConversion"/>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3311048843E854E807D49DB33CE1450" ma:contentTypeVersion="4" ma:contentTypeDescription="Create a new document." ma:contentTypeScope="" ma:versionID="c838c41f511116214f12becba4d44bd0">
  <xsd:schema xmlns:xsd="http://www.w3.org/2001/XMLSchema" xmlns:xs="http://www.w3.org/2001/XMLSchema" xmlns:p="http://schemas.microsoft.com/office/2006/metadata/properties" xmlns:ns2="4d10594e-7e37-4288-bf97-cc36ee03b62f" targetNamespace="http://schemas.microsoft.com/office/2006/metadata/properties" ma:root="true" ma:fieldsID="10d3d5d3cd0199a5ef996f352dced1e3" ns2:_="">
    <xsd:import namespace="4d10594e-7e37-4288-bf97-cc36ee03b62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10594e-7e37-4288-bf97-cc36ee03b6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D4808E-AFBD-4E41-A399-7C8BB0062383}"/>
</file>

<file path=customXml/itemProps2.xml><?xml version="1.0" encoding="utf-8"?>
<ds:datastoreItem xmlns:ds="http://schemas.openxmlformats.org/officeDocument/2006/customXml" ds:itemID="{BB0FD283-A433-4C02-80BC-A8EB470CCDC1}">
  <ds:schemaRefs>
    <ds:schemaRef ds:uri="http://purl.org/dc/terms/"/>
    <ds:schemaRef ds:uri="4d10594e-7e37-4288-bf97-cc36ee03b62f"/>
    <ds:schemaRef ds:uri="http://www.w3.org/XML/1998/namespace"/>
    <ds:schemaRef ds:uri="http://schemas.openxmlformats.org/package/2006/metadata/core-properties"/>
    <ds:schemaRef ds:uri="http://schemas.microsoft.com/office/2006/metadata/properties"/>
    <ds:schemaRef ds:uri="http://schemas.microsoft.com/office/2006/documentManagement/types"/>
    <ds:schemaRef ds:uri="http://schemas.microsoft.com/office/infopath/2007/PartnerControls"/>
    <ds:schemaRef ds:uri="http://purl.org/dc/dcmitype/"/>
    <ds:schemaRef ds:uri="http://purl.org/dc/elements/1.1/"/>
  </ds:schemaRefs>
</ds:datastoreItem>
</file>

<file path=customXml/itemProps3.xml><?xml version="1.0" encoding="utf-8"?>
<ds:datastoreItem xmlns:ds="http://schemas.openxmlformats.org/officeDocument/2006/customXml" ds:itemID="{9C57EA29-D5BB-4F2B-A6A3-0F267064F0E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IR checklist</vt:lpstr>
      <vt:lpstr>SnapShot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김 동남</dc:creator>
  <cp:keywords/>
  <dc:description/>
  <cp:lastModifiedBy>이 상원</cp:lastModifiedBy>
  <cp:revision/>
  <dcterms:created xsi:type="dcterms:W3CDTF">2022-10-13T00:27:07Z</dcterms:created>
  <dcterms:modified xsi:type="dcterms:W3CDTF">2024-12-18T04:35:00Z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0x010100E3311048843E854E807D49DB33CE1450</vt:lpwstr>
  </property>
  <property fmtid="{D5CDD505-2E9C-101B-9397-08002B2CF9AE}" pid="3" name="MediaServiceImageTags">
    <vt:lpwstr/>
  </property>
</Properties>
</file>