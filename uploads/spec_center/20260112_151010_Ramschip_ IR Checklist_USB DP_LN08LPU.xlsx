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66925"/>
  <mc:AlternateContent xmlns:mc="http://schemas.openxmlformats.org/markup-compatibility/2006">
    <mc:Choice Requires="x15">
      <x15ac:absPath xmlns:x15ac="http://schemas.microsoft.com/office/spreadsheetml/2010/11/ac" url="https://ramschip.sharepoint.com/sites/IPDocumentcenter/Shared Documents/■ IR Check sheet/USB_DP/USBDP_LN08LPU/"/>
    </mc:Choice>
  </mc:AlternateContent>
  <xr:revisionPtr revIDLastSave="234" documentId="8_{DF9C0122-4F59-473F-81F4-46709E1E6794}" xr6:coauthVersionLast="47" xr6:coauthVersionMax="47" xr10:uidLastSave="{2AB10C3F-2373-FF4A-A348-3C0A141B5A4B}"/>
  <bookViews>
    <workbookView xWindow="24800" yWindow="460" windowWidth="51840" windowHeight="26220" xr2:uid="{613300CC-291C-4065-8E3E-A91DF5A5D310}"/>
  </bookViews>
  <sheets>
    <sheet name="IR checklis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2" l="1"/>
  <c r="L8" i="2"/>
  <c r="L7" i="2"/>
  <c r="L6" i="2"/>
  <c r="L5" i="2"/>
  <c r="I8" i="2"/>
  <c r="I7" i="2"/>
  <c r="I5" i="2"/>
  <c r="L9" i="2" l="1"/>
  <c r="I9" i="2" l="1"/>
</calcChain>
</file>

<file path=xl/sharedStrings.xml><?xml version="1.0" encoding="utf-8"?>
<sst xmlns="http://schemas.openxmlformats.org/spreadsheetml/2006/main" count="351" uniqueCount="212">
  <si>
    <t>IR CHECKLIST</t>
    <phoneticPr fontId="1" type="noConversion"/>
  </si>
  <si>
    <t>1. BASIC INFORMATION</t>
    <phoneticPr fontId="1" type="noConversion"/>
  </si>
  <si>
    <t>COLOR DESCRIPTION (ITEM)</t>
    <phoneticPr fontId="1" type="noConversion"/>
  </si>
  <si>
    <t>SCORE</t>
    <phoneticPr fontId="1" type="noConversion"/>
  </si>
  <si>
    <t>Process</t>
    <phoneticPr fontId="1" type="noConversion"/>
  </si>
  <si>
    <t>Samsung ln08lpu</t>
  </si>
  <si>
    <t>Item</t>
    <phoneticPr fontId="1" type="noConversion"/>
  </si>
  <si>
    <t>PASS</t>
    <phoneticPr fontId="1" type="noConversion"/>
  </si>
  <si>
    <t>Project name</t>
    <phoneticPr fontId="1" type="noConversion"/>
  </si>
  <si>
    <t>Heron</t>
  </si>
  <si>
    <t>For Project Manager or SOC (Block Top)</t>
    <phoneticPr fontId="1" type="noConversion"/>
  </si>
  <si>
    <t>NG</t>
    <phoneticPr fontId="1" type="noConversion"/>
  </si>
  <si>
    <t>Customer</t>
    <phoneticPr fontId="1" type="noConversion"/>
  </si>
  <si>
    <t>Rockhip</t>
  </si>
  <si>
    <t>For Logical Designer(RTL)</t>
    <phoneticPr fontId="1" type="noConversion"/>
  </si>
  <si>
    <t>N.A</t>
    <phoneticPr fontId="1" type="noConversion"/>
  </si>
  <si>
    <t>Application</t>
    <phoneticPr fontId="1" type="noConversion"/>
  </si>
  <si>
    <t>For Physical Designer(Layout - Physical Design)</t>
    <phoneticPr fontId="1" type="noConversion"/>
  </si>
  <si>
    <t>Not yet</t>
    <phoneticPr fontId="1" type="noConversion"/>
  </si>
  <si>
    <t>Product manager</t>
    <phoneticPr fontId="1" type="noConversion"/>
  </si>
  <si>
    <t>For Physical Designer(Physical Implementation)</t>
    <phoneticPr fontId="1" type="noConversion"/>
  </si>
  <si>
    <t>IP designer</t>
    <phoneticPr fontId="1" type="noConversion"/>
  </si>
  <si>
    <t>QA manager</t>
    <phoneticPr fontId="1" type="noConversion"/>
  </si>
  <si>
    <t>Integration review date</t>
    <phoneticPr fontId="1" type="noConversion"/>
  </si>
  <si>
    <t>MTO Schedule</t>
    <phoneticPr fontId="1" type="noConversion"/>
  </si>
  <si>
    <t>50~79%</t>
    <phoneticPr fontId="1" type="noConversion"/>
  </si>
  <si>
    <t>IR can be started</t>
    <phoneticPr fontId="1" type="noConversion"/>
  </si>
  <si>
    <t>2. DESIGN CHECK SHEET</t>
    <phoneticPr fontId="1" type="noConversion"/>
  </si>
  <si>
    <t>80~99%</t>
    <phoneticPr fontId="1" type="noConversion"/>
  </si>
  <si>
    <t>IR can be determined as marginal pass</t>
    <phoneticPr fontId="1" type="noConversion"/>
  </si>
  <si>
    <t>Under 50%</t>
    <phoneticPr fontId="1" type="noConversion"/>
  </si>
  <si>
    <t>IR can not be started</t>
    <phoneticPr fontId="1" type="noConversion"/>
  </si>
  <si>
    <t>Recommendation :</t>
    <phoneticPr fontId="1" type="noConversion"/>
  </si>
  <si>
    <t>when you fill the integration review checklist, please follow the guide in IP datasheet and userguide.</t>
    <phoneticPr fontId="1" type="noConversion"/>
  </si>
  <si>
    <t>CATEGORY</t>
    <phoneticPr fontId="1" type="noConversion"/>
  </si>
  <si>
    <t>ITEM</t>
    <phoneticPr fontId="1" type="noConversion"/>
  </si>
  <si>
    <t>CHECK POINT</t>
    <phoneticPr fontId="1" type="noConversion"/>
  </si>
  <si>
    <t>CHECK METHOD</t>
    <phoneticPr fontId="1" type="noConversion"/>
  </si>
  <si>
    <t>PRODUCT (PROJECT)</t>
    <phoneticPr fontId="1" type="noConversion"/>
  </si>
  <si>
    <t>IP</t>
    <phoneticPr fontId="1" type="noConversion"/>
  </si>
  <si>
    <t>CHECK RESULT</t>
    <phoneticPr fontId="1" type="noConversion"/>
  </si>
  <si>
    <t>NAME/DATE
(YY.MM.DD)</t>
    <phoneticPr fontId="1" type="noConversion"/>
  </si>
  <si>
    <t>NOTE</t>
    <phoneticPr fontId="1" type="noConversion"/>
  </si>
  <si>
    <t>Fundamental 
information</t>
    <phoneticPr fontId="1" type="noConversion"/>
  </si>
  <si>
    <t>Temperature &amp; Reliability check condition</t>
    <phoneticPr fontId="1" type="noConversion"/>
  </si>
  <si>
    <t>Is the chip operating temperature condition and life cycle checked?</t>
    <phoneticPr fontId="1" type="noConversion"/>
  </si>
  <si>
    <t>Review and make comments
 - Chip operating environment (mobile, automotive, network)
 - Junction temperature condition
 - The reliability(EM) cycle(time)</t>
    <phoneticPr fontId="1" type="noConversion"/>
  </si>
  <si>
    <t>Not yet</t>
  </si>
  <si>
    <t>IP Version check</t>
    <phoneticPr fontId="1" type="noConversion"/>
  </si>
  <si>
    <t>IP DK Version</t>
    <phoneticPr fontId="1" type="noConversion"/>
  </si>
  <si>
    <t>Check whether the version of the DB used is final (FE/BE/DOC)</t>
    <phoneticPr fontId="1" type="noConversion"/>
  </si>
  <si>
    <t>Order form re-check</t>
    <phoneticPr fontId="1" type="noConversion"/>
  </si>
  <si>
    <t>Order Form</t>
    <phoneticPr fontId="1" type="noConversion"/>
  </si>
  <si>
    <t>Are specification consensus done with order form between customer and IP designer?</t>
    <phoneticPr fontId="1" type="noConversion"/>
  </si>
  <si>
    <t>Please attach the final OrderForm doc. which are confirmed.</t>
    <phoneticPr fontId="1" type="noConversion"/>
  </si>
  <si>
    <t>Function check</t>
    <phoneticPr fontId="1" type="noConversion"/>
  </si>
  <si>
    <t>HTOL</t>
    <phoneticPr fontId="1" type="noConversion"/>
  </si>
  <si>
    <t>In full-chip level HTOL(SCAN) test mode, have you checked that the IP's inputs are set as conditions guaranteed by the UserGuide? Have you verified that the IP operates without any problem by simulation</t>
    <phoneticPr fontId="1" type="noConversion"/>
  </si>
  <si>
    <t>1) Please share dump file path and file name
2) Please share the IP's hierarchical information
3) Please share used waveform view &amp; version</t>
    <phoneticPr fontId="1" type="noConversion"/>
  </si>
  <si>
    <t>Power up check</t>
    <phoneticPr fontId="1" type="noConversion"/>
  </si>
  <si>
    <t>Is power-management sequence which is supplied to IP guaranteed in SoC?</t>
    <phoneticPr fontId="1" type="noConversion"/>
  </si>
  <si>
    <t>Please share the figure of the power sequence or dump file.
- If you share a dump file, please share file path / file name / IP's hierarchical information.
- If there is no figure or dump file, please make comments about power sequence(e.g. ALWAYS ON, ALIVE, etc.).</t>
    <phoneticPr fontId="1" type="noConversion"/>
  </si>
  <si>
    <t>Start up check</t>
    <phoneticPr fontId="1" type="noConversion"/>
  </si>
  <si>
    <t>IP start-up sequence check</t>
    <phoneticPr fontId="1" type="noConversion"/>
  </si>
  <si>
    <t>Have you checked that the clock input and control signals are applied according to the start-up sequence described in the Datasheet?</t>
    <phoneticPr fontId="1" type="noConversion"/>
  </si>
  <si>
    <t>Power down check</t>
    <phoneticPr fontId="1" type="noConversion"/>
  </si>
  <si>
    <t>Power down sequence check</t>
    <phoneticPr fontId="1" type="noConversion"/>
  </si>
  <si>
    <t>Have you checked that the power sequence applied in the product follows the power sequence described in the Datasheet?</t>
    <phoneticPr fontId="1" type="noConversion"/>
  </si>
  <si>
    <t>Function simulation</t>
    <phoneticPr fontId="1" type="noConversion"/>
  </si>
  <si>
    <t>Input control sequence during the operation</t>
    <phoneticPr fontId="1" type="noConversion"/>
  </si>
  <si>
    <t>Are the verification results in product level shared with IP designer? (IP normal scenario; RTL simulation or post simulation results under the actual product scenario)
Please check whether appropriate control and default value are applied through those Verilog simulations.</t>
    <phoneticPr fontId="1" type="noConversion"/>
  </si>
  <si>
    <t>Stand-by scenario during lock-time</t>
    <phoneticPr fontId="1" type="noConversion"/>
  </si>
  <si>
    <t>If the IP is a clock IP which outputs the target frequency after a certain time, have you checked whether this is reflected to the system implementation where the system waits for the lock time/settling time as specified in the Datasheet?</t>
    <phoneticPr fontId="1" type="noConversion"/>
  </si>
  <si>
    <t>Test mode verification</t>
    <phoneticPr fontId="1" type="noConversion"/>
  </si>
  <si>
    <t>Have you checked that, in the test mode for evaluating the IP's characteristics, the maximum frequency output to I/O is within the specified maximum operating speed of I/O? 
Write the maximum frequency output in column J 'Note'</t>
    <phoneticPr fontId="1" type="noConversion"/>
  </si>
  <si>
    <t>SFR Setting Check</t>
    <phoneticPr fontId="1" type="noConversion"/>
  </si>
  <si>
    <t xml:space="preserve">Are SFR setting values applied as the guide which is provided by IP designer? </t>
    <phoneticPr fontId="1" type="noConversion"/>
  </si>
  <si>
    <t>Please reviews it and attach confirmation email from IP designer</t>
    <phoneticPr fontId="1" type="noConversion"/>
  </si>
  <si>
    <t>Function - ATE(Automatic Test Equipment) Vector Test</t>
    <phoneticPr fontId="1" type="noConversion"/>
  </si>
  <si>
    <t>Are function test results reviewed? (All about IP's test mode)
Please check whether appropriate control and default value are applied through those Verilog simulations.</t>
    <phoneticPr fontId="1" type="noConversion"/>
  </si>
  <si>
    <t>1) Please share dump file path and file name
2) Please share the IP's hierarchical information on fullchip
3) Please share used waveform view &amp; version</t>
    <phoneticPr fontId="1" type="noConversion"/>
  </si>
  <si>
    <t>Input controllability</t>
    <phoneticPr fontId="1" type="noConversion"/>
  </si>
  <si>
    <t>Have you checked if there is any case where specific inputs of IP are connected to a ROM code or tie cell and cannot be easily modified by SW modification? 
If there is, write the list of IP's inputs connected to ROM code or signal in column J, 'Note'</t>
    <phoneticPr fontId="1" type="noConversion"/>
  </si>
  <si>
    <t>Have you verified the cases when IP is connected to ROM/Tie cell by Verilog simulation and checked there is no problem?</t>
    <phoneticPr fontId="1" type="noConversion"/>
  </si>
  <si>
    <t>Unused pin check</t>
    <phoneticPr fontId="1" type="noConversion"/>
  </si>
  <si>
    <t>Are there any IP input/output pins that are not used? All IP inputs except the unused-pin list must be controllable.</t>
    <phoneticPr fontId="1" type="noConversion"/>
  </si>
  <si>
    <t>Please share the list of unused pins. 
1) Please specify about the pin-names that are not used or not controllable.
2) Please write the logical states of the unused pins. (e.g. tie to vdd with tie-cell, tie to gnd with logic block, floating)
3) If all pins are controllable, please write "All pins are used and controllable" with the name of the person in charge.</t>
    <phoneticPr fontId="1" type="noConversion"/>
  </si>
  <si>
    <t>On-chip LDO Setting</t>
    <phoneticPr fontId="1" type="noConversion"/>
  </si>
  <si>
    <t xml:space="preserve">LDO setting </t>
    <phoneticPr fontId="1" type="noConversion"/>
  </si>
  <si>
    <t>In case IP power is received from another LDO IP, have you checked the following information so that stable voltage is supplied during IP operation?
-. If LDO trim is needed, has the appropriate trim code value been applied to 
   the LDO?
-. If the LDO uses the chopping mode, is the chopping clock supplied 
   according to the guide?</t>
    <phoneticPr fontId="1" type="noConversion"/>
  </si>
  <si>
    <t>APB Interface</t>
    <phoneticPr fontId="1" type="noConversion"/>
  </si>
  <si>
    <t>Check for interface frequency</t>
    <phoneticPr fontId="1" type="noConversion"/>
  </si>
  <si>
    <t>APB _ Write Transfer</t>
    <phoneticPr fontId="1" type="noConversion"/>
  </si>
  <si>
    <t xml:space="preserve">Check for write sequence </t>
    <phoneticPr fontId="1" type="noConversion"/>
  </si>
  <si>
    <t>Has the write transfer been set up correctly?
'-. i_apb_paddr, i_apb_pwrite, i_apb_psel and i_apb_pwdata signals are modified 
   after the rising edge of the i_apb_pclk.
-. After the following edge of the i_apb_pclk, i_apb_penable signal is asserted.
-. i_apb_paddr, i_apb_pwdata and i_apb_psel signals are all remain valid 
   throughout the access cycle and the transfer completes at the end of the 
   cycle.
-. i_apb_penable signal is deasserted at the end of the transfer. The i_apb_psel 
   signal proceeds to low. 
-. To reduce power consumption, i_apb_paddr and i_apb_pwrite signal does not 
   alter.</t>
    <phoneticPr fontId="1" type="noConversion"/>
  </si>
  <si>
    <t>APB _ Read Transfer</t>
    <phoneticPr fontId="1" type="noConversion"/>
  </si>
  <si>
    <t xml:space="preserve">Check for read sequence </t>
    <phoneticPr fontId="1" type="noConversion"/>
  </si>
  <si>
    <t>Has the read transfer been set up correctly?
-. i_apb_paddr, i_apb_pwrite and i_apb_psel signals are modified after the rising 
   edge of the i_apb_pclk.
-. After the following edge of the i_apb_pclk, i_apb_penable signal is asserted.
-. The slave provides the o_apb_prdata during the access cycle.
-. The data is sampled on the rising edge of i_apb_pclk at the end of the access 
   cycle.</t>
    <phoneticPr fontId="1" type="noConversion"/>
  </si>
  <si>
    <t>APB Address for internal Registers</t>
    <phoneticPr fontId="1" type="noConversion"/>
  </si>
  <si>
    <t>Check for APB Upper Byte to SerDes Macro mapping</t>
    <phoneticPr fontId="1" type="noConversion"/>
  </si>
  <si>
    <t>The bit[31:16], bit[1:0] of APB address must be tied to 0.</t>
  </si>
  <si>
    <t>Timing Skew Check for Direct Access Port in Test Mode</t>
    <phoneticPr fontId="1" type="noConversion"/>
  </si>
  <si>
    <t>Are timing skew for ports which access directly from GPIO checked for direct access (stand-alone) test?
When in PHY Test mode, the APB interface is accessed immediately from the GPIO. At this time, check whether skew is considered for Multi bit. (For example, PADDR (16bit), RDATA, PWDATA (16bit), PSEL, PENALBE, PWRITE) If there is a difference in skew, eventually the ATE must turn on the timing to skew. In fact, it is difficult to consider skew in the ATE. In the Post STA result, the skew report is received separately.</t>
    <phoneticPr fontId="1" type="noConversion"/>
  </si>
  <si>
    <t>Please attach  the report of the time delay from GPIO to target ports of IP (This is for  checking timing skew between ports for ATE) 
Use skew report from post STA, about IN/OUT multi-bit.
Please, refer IP user guide to check target pins and timing requirements.</t>
    <phoneticPr fontId="1" type="noConversion"/>
  </si>
  <si>
    <t>STA(Static Timing Analysis)</t>
    <phoneticPr fontId="1" type="noConversion"/>
  </si>
  <si>
    <t>Are STA results between IP and product reviewed?
1) Review the unconstraint path with the IP designer (The important timing path must be constraint path)
2) Check the timing report (setup / hold timing reports)</t>
  </si>
  <si>
    <t>1) Please share STA Report: Refer to Datasheet &amp; Userguide to check IP's pin name of interest with respect to STA (e.g. FIN, FOUT) 
2) Plase share the unconstraint path list</t>
    <phoneticPr fontId="1" type="noConversion"/>
  </si>
  <si>
    <t>Transmitter input Timing</t>
    <phoneticPr fontId="1" type="noConversion"/>
  </si>
  <si>
    <t>Check input timing</t>
    <phoneticPr fontId="1" type="noConversion"/>
  </si>
  <si>
    <t xml:space="preserve">Read "1.5.1 Transmitter Input Timing" from the Userguide.
The most Tx input signals are timed from rising edge of i_tx_data_clk. It is recommended that the ASIC(or SOC) uses the o_hs_clk to clock the parallel Tx data shipped to PMA. In other words, the i_tx_data_clk should be derived from o_hs_clk clock. And o_hs_clk is generated clock of int_o_hs_clk which is internal clock pin. 
For rs_usbdp100x4_ln08lpu , internal clock signal is i_ana_lcpll_usb_lane_tx_clk. 
DP Tx data input signals are timed from rising edge of o_dp_txclk . output clock o_dp_txclk is generated clock of int_o_dp_txclk which is internal clock pin. 
For rs_usbdp100x4_ln08lpu , DP internal clock signal is i_ana_ropll_usb_lane_tx_clk. </t>
  </si>
  <si>
    <t>Receiver Output Timing</t>
  </si>
  <si>
    <t>Check output timing</t>
  </si>
  <si>
    <t xml:space="preserve">Read "1.5.2 Receiver Input Timing" from the Userguide.
The Rx output signals are synchronous to o_rx_clk which is derived from int_o_rx_clk0 or int_o_rx_clk2 by USB rx lane section configuration. int_o_rx_clk0 or int_o_rx_clk2 is internal clock pin for describing output delay from internal clock for synthesis and static timing analysis. 
For the rs_usbdp100x4_ln08lpu , internal clock signal is i_ln0_ana_rxclk and i_ln2_ana_rxclk. </t>
  </si>
  <si>
    <t>Network Jitter</t>
    <phoneticPr fontId="1" type="noConversion"/>
  </si>
  <si>
    <t xml:space="preserve">Are the clock network jitters from full chip shared and reviewed with IP designers? </t>
    <phoneticPr fontId="1" type="noConversion"/>
  </si>
  <si>
    <t>Please attach the result of the network jitter simulation(PJX) from the clock source on SOC to the IP's input clock pin (e.g. ref_clk_in, FIN, etc.).</t>
    <phoneticPr fontId="1" type="noConversion"/>
  </si>
  <si>
    <t>Network Jitter</t>
  </si>
  <si>
    <t>Reference clock jitter</t>
  </si>
  <si>
    <t>Low jitter path management</t>
    <phoneticPr fontId="1" type="noConversion"/>
  </si>
  <si>
    <t xml:space="preserve">When the output of PLL is injected to the input of other mixed signal IPs like PHY or ADC, which need low jitter performance, have you checked that clock path between the PLL output and the receiving IP is minimized and path distance is routed as the shortest as possible? </t>
    <phoneticPr fontId="1" type="noConversion"/>
  </si>
  <si>
    <t>RJ/DJ simulation</t>
    <phoneticPr fontId="1" type="noConversion"/>
  </si>
  <si>
    <t>Floor plan</t>
    <phoneticPr fontId="1" type="noConversion"/>
  </si>
  <si>
    <t>Product floor plan</t>
    <phoneticPr fontId="1" type="noConversion"/>
  </si>
  <si>
    <t xml:space="preserve">Is the floorplan shared with IP designer in advance? </t>
    <phoneticPr fontId="1" type="noConversion"/>
  </si>
  <si>
    <t>Please share product floorplan that shows the location of all IPs</t>
    <phoneticPr fontId="1" type="noConversion"/>
  </si>
  <si>
    <t>PAD</t>
    <phoneticPr fontId="1" type="noConversion"/>
  </si>
  <si>
    <t>I/O pad type</t>
    <phoneticPr fontId="1" type="noConversion"/>
  </si>
  <si>
    <t>Have you checked that appropriate type of I/O are used? Write the name of the used I/O in column J, 'Note'</t>
    <phoneticPr fontId="1" type="noConversion"/>
  </si>
  <si>
    <t>Isolation of I/O pad</t>
    <phoneticPr fontId="1" type="noConversion"/>
  </si>
  <si>
    <t>Is the Power I/O for the IP properly separated from noise interference around using slot cells? Have you reviewed over any ESD issues with ESD team? Write the name of the ESD reviewer in column J, 'Note'.</t>
    <phoneticPr fontId="1" type="noConversion"/>
  </si>
  <si>
    <t>Noise around I/O pad</t>
    <phoneticPr fontId="1" type="noConversion"/>
  </si>
  <si>
    <t>Have you checked that there is no noisy sources (i.e. Tx Driver/Signal I/O) placed around the IP's Power I/O?</t>
  </si>
  <si>
    <t>IP Placement</t>
    <phoneticPr fontId="1" type="noConversion"/>
  </si>
  <si>
    <t>Is minimum distance between IP and the other glue logic to ensure no DRC violation secured?
What is the distance between IP and noisy or high power consuming IPs (e.g. DDRPHY)?</t>
    <phoneticPr fontId="1" type="noConversion"/>
  </si>
  <si>
    <t>Is the IP placed properly based on "1.3 Layout guide from userguide?
-. rs_usbdp100x4_ln08lpu should be placed in the center of one-side to   
   minimize package R/L/C parasitic
-. rs_usbdp100x4_ln08lpu cannot be placed in the center, there should be   
   enough space (e.g. &gt; 1000um) from the chip edge.
-. rs_usbdp100x4_ln08lpu is also recommended to be far away from noisy
   switching logic. The distance to other IP and logic blocks is recommended
   as 20µm and 40µm, respectively.
-. If there are noisy blocks such as DDR PHY, then place this IP at the other 
   side of the die (e.g. the opposite side). The noisy switching IO signals from 
   the DDR PHY may cause unwanted noise coupling in the die and/or 
   package/board level. To prevent unwanted notice, ensure that you place the 
   noisy block at the opposite side in the die. 
-. For the process monitoring block placement, at least one block should be 
   located near the PHY. We recommend you to place the process monitoring 
   block within 100um from the PHY and closer to the IO region of the PHY 
   (e.g. &lt; 400 um from chip edge). This block can be located with the 
   minimum space rule of 5um from our PHY (e.g. 50 ~ 300 um space -&gt; 5 
   um space) because this block is not working in the normal mode.		
Please specify the distance or attach a captured image</t>
  </si>
  <si>
    <t>Integration check</t>
    <phoneticPr fontId="1" type="noConversion"/>
  </si>
  <si>
    <t>Bumpmap</t>
    <phoneticPr fontId="1" type="noConversion"/>
  </si>
  <si>
    <t>Is bumpmap of each IP shared and reviewed by IP designer?</t>
    <phoneticPr fontId="1" type="noConversion"/>
  </si>
  <si>
    <t>Please share bumpmap file or figure.
If there is no Bump, please write N/A.</t>
    <phoneticPr fontId="1" type="noConversion"/>
  </si>
  <si>
    <t>I/O ring check</t>
    <phoneticPr fontId="1" type="noConversion"/>
  </si>
  <si>
    <t>Is RTO/SNS/VSS ring connected without breaking in IP's LEF and GDS? 
Are the defined as ports in IP's LEF and GDS?</t>
    <phoneticPr fontId="1" type="noConversion"/>
  </si>
  <si>
    <t>Please check and specify the RTO/SNS/VSS's ring and ports in case of IP including GPIOs</t>
    <phoneticPr fontId="1" type="noConversion"/>
  </si>
  <si>
    <t>Breakcell check</t>
    <phoneticPr fontId="1" type="noConversion"/>
  </si>
  <si>
    <t>Are the breakcells on I/O ring on top level connected properly according to guide?</t>
    <phoneticPr fontId="1" type="noConversion"/>
  </si>
  <si>
    <t>If breakcells are used, please specify the cell name</t>
    <phoneticPr fontId="1" type="noConversion"/>
  </si>
  <si>
    <t>Linker cell check</t>
    <phoneticPr fontId="1" type="noConversion"/>
  </si>
  <si>
    <t>Is linker cell used beside I/O ring of IP?</t>
    <phoneticPr fontId="1" type="noConversion"/>
  </si>
  <si>
    <t>If linker cells are used, please specify the cell name</t>
    <phoneticPr fontId="1" type="noConversion"/>
  </si>
  <si>
    <t>Back to back diode ( Anti-parallel diode )</t>
    <phoneticPr fontId="1" type="noConversion"/>
  </si>
  <si>
    <t>Are all the ground pins connected to the logic ground in IP connected by metal according to pin width?
(e.g. VSS_CDM port which is back-to-back diode output on IP connected to the ground of the product by proper metal and width)</t>
    <phoneticPr fontId="1" type="noConversion"/>
  </si>
  <si>
    <t>Please share the layout captured image of the connected by each metal layer. 
1) SOC logic ground should be connected with ground of IP as metal width of pin(port) on IP.
2) Must be connected with bar-via.
These are very important items to guarantee ESD specifications like HBM, CDM, and latch-up.</t>
    <phoneticPr fontId="1" type="noConversion"/>
  </si>
  <si>
    <t>Important signal shielding</t>
    <phoneticPr fontId="1" type="noConversion"/>
  </si>
  <si>
    <t>Are important input/output signals of IP shielded in full chip level?</t>
    <phoneticPr fontId="1" type="noConversion"/>
  </si>
  <si>
    <t>Please share the screen captured image or GDS: specify the important input/output signals.
And please share the shielding information of signal lines. 
1) Clock shielding ratio: (shielded line length/total line length)*100
2) Metal name &amp; length</t>
    <phoneticPr fontId="1" type="noConversion"/>
  </si>
  <si>
    <t>Verification rule check</t>
    <phoneticPr fontId="1" type="noConversion"/>
  </si>
  <si>
    <t>Are there any DRC, EAC or PERC errors of IP in chip level? If there are, are these checked and waived by IP designer?</t>
    <phoneticPr fontId="1" type="noConversion"/>
  </si>
  <si>
    <t xml:space="preserve">Please review it and attach the waive-list.
If there is no error regarding IP, please write comment "There is no error regarding IP". </t>
    <phoneticPr fontId="1" type="noConversion"/>
  </si>
  <si>
    <t>IO Connection Check</t>
    <phoneticPr fontId="1" type="noConversion"/>
  </si>
  <si>
    <t>Check the minimum routing resistance and skew, if the IP does not include IO. (ex: LVDS, USB, DCPHY)</t>
    <phoneticPr fontId="1" type="noConversion"/>
  </si>
  <si>
    <t>1) Please attach the layout capture for routing between the core and I/Os.
2) Please attach the layout capture for differential signal routings.</t>
    <phoneticPr fontId="1" type="noConversion"/>
  </si>
  <si>
    <t>Top layout review</t>
    <phoneticPr fontId="1" type="noConversion"/>
  </si>
  <si>
    <t>Is the final version of top layout of the full chip shared?
Is it reviewed by the IP designer whether there is no issue in physical integration on IP level inputs, outputs, IOs, power supplies, ground to full chip level connections, IP space?</t>
    <phoneticPr fontId="1" type="noConversion"/>
  </si>
  <si>
    <t>ESD</t>
    <phoneticPr fontId="1" type="noConversion"/>
  </si>
  <si>
    <t>Back-to-back diode connection</t>
    <phoneticPr fontId="1" type="noConversion"/>
  </si>
  <si>
    <t xml:space="preserve">In order to prevent CDM damage between rs_usbdp100x4_ln08lpu and SoC power supplies, back-to-back diodes are inserted in the PHY. The "vbb" ports on rs_usbdp100x4_ln08lpu should be strongly connected to SoC grounds as illustrated in Figure 1-7. Thicker metal layers like Kx or Gx with enough number of vias are highly recommended for the "vbb" routing.
</t>
  </si>
  <si>
    <t>RDL</t>
    <phoneticPr fontId="1" type="noConversion"/>
  </si>
  <si>
    <t>RDL routing crosstalk</t>
    <phoneticPr fontId="1" type="noConversion"/>
  </si>
  <si>
    <t>Have you made sure that no "signal RDL" of other block(s) pass over the IP? Rule of thumb is that nothing is allowed to go over the IP except the power bump of the IP itself or the power RDL of the IP itself.</t>
    <phoneticPr fontId="1" type="noConversion"/>
  </si>
  <si>
    <t>PDN</t>
    <phoneticPr fontId="1" type="noConversion"/>
  </si>
  <si>
    <t>PDN analysis - execution/review</t>
    <phoneticPr fontId="1" type="noConversion"/>
  </si>
  <si>
    <t>Have you reviewed the power noise of the IP and the reviewed the PDN results?</t>
    <phoneticPr fontId="1" type="noConversion"/>
  </si>
  <si>
    <t>Check the level of voltage ripple</t>
    <phoneticPr fontId="1" type="noConversion"/>
  </si>
  <si>
    <t>Have you checked that the voltage ripple specification for each IP allowed as a the result of PDN analysis are satisfied?
-. High power supply voltage for the PHY Core : under 30mVpp
-. Low power supply volatage for the PHY Core: under 20mVpp</t>
    <phoneticPr fontId="1" type="noConversion"/>
  </si>
  <si>
    <t>Check whether PDN analysis results are considered in integration</t>
    <phoneticPr fontId="1" type="noConversion"/>
  </si>
  <si>
    <t>Have you added sufficient on-chip De-cap between IP's power and ground based on PDN analysis result? 
Write the size[F] of inserted de-cap in column M, 'Note'. If the voltage ripple specification from PDN analysis could be met without additional de-cap insertion, please write 0[F].</t>
    <phoneticPr fontId="1" type="noConversion"/>
  </si>
  <si>
    <t>Power &amp; Ground routing</t>
    <phoneticPr fontId="1" type="noConversion"/>
  </si>
  <si>
    <t>Prevention power supply noise</t>
    <phoneticPr fontId="1" type="noConversion"/>
  </si>
  <si>
    <t xml:space="preserve">Has the power &amp; ground routing been designed according to the userguide 
1.3.3 power and ground routing?
-. In order to prevent power supply noise which induces jitter on the TX and RX waveforms, rs_usbdp100x4_ln08lpu's power and ground should be isolated from        those of the SoC as illustrated in Figure 1-6 </t>
  </si>
  <si>
    <t>Power routing</t>
    <phoneticPr fontId="1" type="noConversion"/>
  </si>
  <si>
    <t>Power routing connection - width/metal</t>
    <phoneticPr fontId="1" type="noConversion"/>
  </si>
  <si>
    <t xml:space="preserve">Have you connected the power/ground routings by using the same metal layer/width as defined at the IP port? Or did you connect them with wider metal/more metal stack (which is also an allowed case)? </t>
    <phoneticPr fontId="1" type="noConversion"/>
  </si>
  <si>
    <t>ESD check</t>
    <phoneticPr fontId="1" type="noConversion"/>
  </si>
  <si>
    <t>Have you connected the CDM/Clamp/IO according to the guidelines described in the Userguide "1.3.4 ESD Protection", and got confirmed by ESD team after reviewing the final version? 
Or is there any tool (PERC/DRC/Pathfinder etc.) verification result? Write the name of the ESD reviewer in column J, 'Note'.</t>
    <phoneticPr fontId="1" type="noConversion"/>
  </si>
  <si>
    <t>ATB
(Analog Test Bus)</t>
    <phoneticPr fontId="1" type="noConversion"/>
  </si>
  <si>
    <t>ATB Connection</t>
    <phoneticPr fontId="1" type="noConversion"/>
  </si>
  <si>
    <t>Read "1.3.6 ATB Connection" from the Userguide.
The port atb can be treated in three ways.
•	No connection when it is not used
•	Connection to I/O cell and bump but no PKG ball assign
•	Connection to I/O cell, bump and PKG ball
The port atb must be floated in the case of non-connection.
if the ATB port is not connected, has it been as floating?</t>
    <phoneticPr fontId="1" type="noConversion"/>
  </si>
  <si>
    <t>Shielding</t>
    <phoneticPr fontId="1" type="noConversion"/>
  </si>
  <si>
    <t>Shielding of major signals</t>
    <phoneticPr fontId="1" type="noConversion"/>
  </si>
  <si>
    <t>Read 1.3.7 Shielding Guide" from the Userguide.
Have you checked that "two reference clock pins i_ref_xtal, i_ref_soc_pll and i_ref_soc_pll_ssc must be shielded by adjacent metals to prevent noise coupling"</t>
  </si>
  <si>
    <t>Inptu &amp; Output 
Clock Connection</t>
    <phoneticPr fontId="1" type="noConversion"/>
  </si>
  <si>
    <t>Check input &amp; outpunt clock declaration</t>
    <phoneticPr fontId="1" type="noConversion"/>
  </si>
  <si>
    <t>Verification check</t>
    <phoneticPr fontId="1" type="noConversion"/>
  </si>
  <si>
    <t>Device List check</t>
    <phoneticPr fontId="1" type="noConversion"/>
  </si>
  <si>
    <t>Check if all devices in IP are available in the product.</t>
    <phoneticPr fontId="1" type="noConversion"/>
  </si>
  <si>
    <t>Please check device list with this method in below.
- In IP BE-Common, LVS report(lvsprt_ca.lvs) file includes IP device list.
Product designer should check if all of the devices are available in the product. If there is an issue, please contact IP designer.
- Product designer share the device list of product, then IP designer would check it.</t>
    <phoneticPr fontId="1" type="noConversion"/>
  </si>
  <si>
    <t>Off-Chip</t>
    <phoneticPr fontId="1" type="noConversion"/>
  </si>
  <si>
    <t>Package Ground Plane Merge</t>
    <phoneticPr fontId="1" type="noConversion"/>
  </si>
  <si>
    <t>Is the ground of the IP merged with ground plane of SOC in package level?</t>
    <phoneticPr fontId="1" type="noConversion"/>
  </si>
  <si>
    <t>Please review the ground ball name in ball map and where the merging point is and attach the confirm material</t>
    <phoneticPr fontId="1" type="noConversion"/>
  </si>
  <si>
    <t>Package Sign-Off</t>
    <phoneticPr fontId="1" type="noConversion"/>
  </si>
  <si>
    <t>Is the package sign-off confirmed by DT(Design technology) and package team?</t>
    <phoneticPr fontId="1" type="noConversion"/>
  </si>
  <si>
    <t>Please review and attach the results</t>
    <phoneticPr fontId="1" type="noConversion"/>
  </si>
  <si>
    <t>Ballmap</t>
    <phoneticPr fontId="1" type="noConversion"/>
  </si>
  <si>
    <t>Are ballmaps for IP reviewed with IP designer?
If there is an fixed signal order of connector, are signal balls correctly placed?</t>
    <phoneticPr fontId="1" type="noConversion"/>
  </si>
  <si>
    <t>Please attach ball-maps and review confirmation emails from IP designer.
If that IP use connector, please fill in signal order of connector</t>
    <phoneticPr fontId="1" type="noConversion"/>
  </si>
  <si>
    <t>Have you used the latest version of DK from Rasmschip? 
Enter the name of the used DK and released date in column J, 'Note'</t>
    <phoneticPr fontId="1" type="noConversion"/>
  </si>
  <si>
    <t>Have you checked If there is the case that input control signals change while the IP is enabled and in normal operation? Is there any problem? Have you simulated the operation scenario with the verilog model in the real integration environment?</t>
    <phoneticPr fontId="1" type="noConversion"/>
  </si>
  <si>
    <t>The APB interface is designed for low bandwidth and low speed. Ensure that you have chosen proper APB frequency</t>
    <phoneticPr fontId="1" type="noConversion"/>
  </si>
  <si>
    <t>When the output of PLL is injected to the input of other mixed signal IPs like PHY or ADC, which need low jitter performance. 
You should execute RJ/DJ simulation for low jitter clock path. 
Write RJ and DJ results in column J,"Note".
Ramdon jitter (RJ) : Max 2ps rms
Determinstic jitter (DJ): 44ps p-p
Total jitter (14*RJ + DJ): 72ps p-p</t>
    <phoneticPr fontId="1" type="noConversion"/>
  </si>
  <si>
    <t>Jitter in the reference clock should be tightly controlled to ensure very high-speed clock operation and its jitter characteristics. Jitter performance of rs_usbdp100x4_ln08lpu is dependent on a low-jitter reference clock source. 
If you use an internal clock-tree for the clock signal distribution in full-chip level, the additional jitter from this clock- tree network should be minimized (e.g. Period jitter should be very small at the worst case simulation condition from our Design Technology team.) Otherwise, the jitter performance can be degraded due to low quality input reference clock. For details refer to Table3-4 in datasheet</t>
    <phoneticPr fontId="1" type="noConversion"/>
  </si>
  <si>
    <t>.
- Please share the PPT about figures of IP's integration with details.</t>
    <phoneticPr fontId="1" type="noConversion"/>
  </si>
  <si>
    <t xml:space="preserve">Have you properly routed the input/output clock signals?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</si>
</sst>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맑은 고딕"/>
      <family val="2"/>
      <charset val="129"/>
      <scheme val="minor"/>
    </font>
    <font>
      <sz val="8"/>
      <name val="맑은 고딕"/>
      <family val="2"/>
      <charset val="129"/>
      <scheme val="minor"/>
    </font>
    <font>
      <b/>
      <sz val="11"/>
      <color theme="1"/>
      <name val="맑은 고딕"/>
      <family val="3"/>
      <charset val="129"/>
      <scheme val="major"/>
    </font>
    <font>
      <sz val="11"/>
      <color theme="1"/>
      <name val="맑은 고딕"/>
      <family val="3"/>
      <charset val="129"/>
      <scheme val="major"/>
    </font>
    <font>
      <b/>
      <sz val="11"/>
      <color rgb="FFFF0000"/>
      <name val="맑은 고딕"/>
      <family val="3"/>
      <charset val="129"/>
      <scheme val="major"/>
    </font>
    <font>
      <sz val="9"/>
      <color theme="1"/>
      <name val="맑은 고딕"/>
      <family val="3"/>
      <charset val="129"/>
      <scheme val="major"/>
    </font>
    <font>
      <b/>
      <u/>
      <sz val="16"/>
      <color theme="1"/>
      <name val="맑은 고딕"/>
      <family val="3"/>
      <charset val="129"/>
      <scheme val="major"/>
    </font>
    <font>
      <b/>
      <sz val="10"/>
      <color theme="1"/>
      <name val="맑은 고딕"/>
      <family val="3"/>
      <charset val="129"/>
      <scheme val="major"/>
    </font>
    <font>
      <sz val="10"/>
      <color theme="1"/>
      <name val="맑은 고딕"/>
      <family val="3"/>
      <charset val="129"/>
      <scheme val="major"/>
    </font>
    <font>
      <sz val="12"/>
      <color theme="1"/>
      <name val="맑은 고딕"/>
      <family val="2"/>
      <charset val="129"/>
      <scheme val="minor"/>
    </font>
    <font>
      <b/>
      <sz val="16"/>
      <color theme="0" tint="-0.499984740745262"/>
      <name val="맑은 고딕"/>
      <family val="3"/>
      <charset val="129"/>
      <scheme val="major"/>
    </font>
    <font>
      <sz val="11"/>
      <color theme="1"/>
      <name val="맑은 고딕"/>
      <family val="2"/>
      <charset val="129"/>
      <scheme val="minor"/>
    </font>
    <font>
      <b/>
      <sz val="10"/>
      <color rgb="FFFF0000"/>
      <name val="맑은 고딕"/>
      <family val="3"/>
      <charset val="129"/>
      <scheme val="major"/>
    </font>
    <font>
      <b/>
      <sz val="10"/>
      <color theme="0"/>
      <name val="맑은 고딕"/>
      <family val="3"/>
      <charset val="129"/>
      <scheme val="minor"/>
    </font>
    <font>
      <b/>
      <sz val="10"/>
      <color theme="1"/>
      <name val="맑은 고딕"/>
      <family val="3"/>
      <charset val="129"/>
      <scheme val="minor"/>
    </font>
    <font>
      <sz val="9"/>
      <color theme="1"/>
      <name val="맑은 고딕"/>
      <family val="3"/>
      <charset val="129"/>
      <scheme val="minor"/>
    </font>
    <font>
      <sz val="11"/>
      <color theme="1"/>
      <name val="맑은 고딕"/>
      <family val="3"/>
      <charset val="129"/>
      <scheme val="minor"/>
    </font>
    <font>
      <b/>
      <sz val="11"/>
      <color theme="0"/>
      <name val="맑은 고딕"/>
      <family val="3"/>
      <charset val="129"/>
      <scheme val="minor"/>
    </font>
    <font>
      <sz val="11"/>
      <name val="돋움"/>
      <family val="3"/>
      <charset val="129"/>
    </font>
    <font>
      <b/>
      <sz val="10"/>
      <color theme="0"/>
      <name val="맑은 고딕"/>
      <family val="3"/>
      <charset val="129"/>
      <scheme val="major"/>
    </font>
    <font>
      <b/>
      <sz val="20"/>
      <color theme="1"/>
      <name val="맑은 고딕"/>
      <family val="3"/>
      <charset val="129"/>
      <scheme val="major"/>
    </font>
    <font>
      <sz val="11"/>
      <color theme="1"/>
      <name val="맑은 고딕"/>
      <family val="2"/>
      <scheme val="minor"/>
    </font>
    <font>
      <sz val="10"/>
      <name val="Arial"/>
      <family val="2"/>
    </font>
    <font>
      <u/>
      <sz val="9.35"/>
      <color theme="10"/>
      <name val="돋움"/>
      <family val="3"/>
      <charset val="129"/>
    </font>
    <font>
      <u/>
      <sz val="11"/>
      <color theme="10"/>
      <name val="맑은 고딕"/>
      <family val="2"/>
      <charset val="129"/>
      <scheme val="minor"/>
    </font>
    <font>
      <u/>
      <sz val="11"/>
      <color theme="10"/>
      <name val="맑은 고딕"/>
      <family val="2"/>
      <charset val="1"/>
    </font>
    <font>
      <sz val="11"/>
      <color rgb="FF000000"/>
      <name val="맑은 고딕"/>
      <family val="2"/>
      <charset val="1"/>
    </font>
    <font>
      <b/>
      <sz val="11"/>
      <color rgb="FFFFFFFF"/>
      <name val="맑은 고딕"/>
      <family val="2"/>
      <charset val="1"/>
    </font>
    <font>
      <b/>
      <sz val="10"/>
      <color theme="1"/>
      <name val="맑은 고딕"/>
      <family val="3"/>
      <scheme val="major"/>
    </font>
    <font>
      <sz val="9"/>
      <color rgb="FF000000"/>
      <name val="맑은 고딕"/>
      <family val="3"/>
      <charset val="129"/>
    </font>
  </fonts>
  <fills count="1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8" tint="0.79998168889431442"/>
        <bgColor indexed="64"/>
      </patternFill>
    </fill>
    <fill>
      <patternFill patternType="solid">
        <fgColor rgb="FFA5A5A5"/>
      </patternFill>
    </fill>
    <fill>
      <patternFill patternType="solid">
        <fgColor rgb="FFFFC000"/>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rgb="FFA5A5A5"/>
        <bgColor rgb="FFC0C0C0"/>
      </patternFill>
    </fill>
    <fill>
      <patternFill patternType="solid">
        <fgColor rgb="FFFFFFFF"/>
        <bgColor rgb="FF000000"/>
      </patternFill>
    </fill>
  </fills>
  <borders count="29">
    <border>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style="double">
        <color rgb="FF3F3F3F"/>
      </left>
      <right style="double">
        <color rgb="FF3F3F3F"/>
      </right>
      <top style="double">
        <color rgb="FF3F3F3F"/>
      </top>
      <bottom style="double">
        <color rgb="FF3F3F3F"/>
      </bottom>
      <diagonal/>
    </border>
    <border>
      <left/>
      <right style="thin">
        <color theme="1"/>
      </right>
      <top style="medium">
        <color indexed="64"/>
      </top>
      <bottom style="thin">
        <color theme="1"/>
      </bottom>
      <diagonal/>
    </border>
    <border>
      <left style="thin">
        <color theme="1"/>
      </left>
      <right/>
      <top style="medium">
        <color indexed="64"/>
      </top>
      <bottom style="thin">
        <color theme="1"/>
      </bottom>
      <diagonal/>
    </border>
    <border>
      <left style="thin">
        <color theme="1"/>
      </left>
      <right style="thin">
        <color theme="1"/>
      </right>
      <top style="medium">
        <color indexed="64"/>
      </top>
      <bottom style="thin">
        <color theme="1"/>
      </bottom>
      <diagonal/>
    </border>
    <border>
      <left style="medium">
        <color indexed="64"/>
      </left>
      <right style="thin">
        <color theme="1"/>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style="thin">
        <color theme="1"/>
      </right>
      <top style="thin">
        <color theme="1"/>
      </top>
      <bottom style="medium">
        <color indexed="64"/>
      </bottom>
      <diagonal/>
    </border>
    <border>
      <left style="thin">
        <color theme="1"/>
      </left>
      <right/>
      <top style="thin">
        <color theme="1"/>
      </top>
      <bottom style="medium">
        <color indexed="64"/>
      </bottom>
      <diagonal/>
    </border>
    <border>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right style="medium">
        <color indexed="64"/>
      </right>
      <top style="thin">
        <color theme="1"/>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4">
    <xf numFmtId="0" fontId="0" fillId="0" borderId="0">
      <alignment vertical="center"/>
    </xf>
    <xf numFmtId="0" fontId="9" fillId="0" borderId="0">
      <alignment vertical="center"/>
    </xf>
    <xf numFmtId="9" fontId="11" fillId="0" borderId="0" applyFont="0" applyFill="0" applyBorder="0" applyAlignment="0" applyProtection="0">
      <alignment vertical="center"/>
    </xf>
    <xf numFmtId="0" fontId="11" fillId="0" borderId="0">
      <alignment vertical="center"/>
    </xf>
    <xf numFmtId="0" fontId="18" fillId="0" borderId="0">
      <alignment vertical="center"/>
    </xf>
    <xf numFmtId="0" fontId="16" fillId="0" borderId="0">
      <alignment vertical="center"/>
    </xf>
    <xf numFmtId="0" fontId="16" fillId="0" borderId="0">
      <alignment vertical="center"/>
    </xf>
    <xf numFmtId="0" fontId="16" fillId="0" borderId="0">
      <alignment vertical="center"/>
    </xf>
    <xf numFmtId="0" fontId="17" fillId="9" borderId="5" applyNumberFormat="0" applyAlignment="0" applyProtection="0">
      <alignment vertical="center"/>
    </xf>
    <xf numFmtId="0" fontId="11" fillId="0" borderId="0">
      <alignment vertical="center"/>
    </xf>
    <xf numFmtId="0" fontId="18" fillId="0" borderId="0">
      <alignment vertical="center"/>
    </xf>
    <xf numFmtId="0" fontId="16" fillId="0" borderId="0">
      <alignment vertical="center"/>
    </xf>
    <xf numFmtId="9" fontId="18" fillId="0" borderId="0" applyFont="0" applyFill="0" applyBorder="0" applyAlignment="0" applyProtection="0">
      <alignment vertical="center"/>
    </xf>
    <xf numFmtId="0" fontId="11" fillId="0" borderId="0">
      <alignment vertical="center"/>
    </xf>
    <xf numFmtId="0" fontId="21" fillId="0" borderId="0"/>
    <xf numFmtId="0" fontId="22" fillId="0" borderId="0"/>
    <xf numFmtId="0" fontId="22" fillId="0" borderId="0"/>
    <xf numFmtId="0" fontId="11" fillId="0" borderId="0">
      <alignment vertical="center"/>
    </xf>
    <xf numFmtId="0" fontId="11" fillId="0" borderId="0">
      <alignment vertical="center"/>
    </xf>
    <xf numFmtId="0" fontId="16" fillId="0" borderId="0">
      <alignment vertical="center"/>
    </xf>
    <xf numFmtId="0" fontId="11" fillId="0" borderId="0">
      <alignment vertical="center"/>
    </xf>
    <xf numFmtId="0" fontId="11" fillId="0" borderId="0">
      <alignment vertical="center"/>
    </xf>
    <xf numFmtId="0" fontId="16" fillId="0" borderId="0">
      <alignment vertical="center"/>
    </xf>
    <xf numFmtId="0" fontId="23" fillId="0" borderId="0" applyNumberFormat="0" applyFill="0" applyBorder="0" applyAlignment="0" applyProtection="0">
      <alignment vertical="top"/>
      <protection locked="0"/>
    </xf>
    <xf numFmtId="0" fontId="18" fillId="0" borderId="0">
      <alignment vertical="center"/>
    </xf>
    <xf numFmtId="0" fontId="21" fillId="0" borderId="0"/>
    <xf numFmtId="0" fontId="21" fillId="0" borderId="0"/>
    <xf numFmtId="0" fontId="2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4" fillId="0" borderId="0" applyNumberFormat="0" applyFill="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11" fillId="0" borderId="0">
      <alignment vertical="center"/>
    </xf>
    <xf numFmtId="0" fontId="21" fillId="0" borderId="0"/>
    <xf numFmtId="0" fontId="11" fillId="0" borderId="0">
      <alignment vertical="center"/>
    </xf>
    <xf numFmtId="0" fontId="21" fillId="0" borderId="0"/>
    <xf numFmtId="0" fontId="21" fillId="0" borderId="0"/>
    <xf numFmtId="0" fontId="11" fillId="0" borderId="0">
      <alignment vertical="center"/>
    </xf>
    <xf numFmtId="0" fontId="25" fillId="0" borderId="0" applyNumberFormat="0" applyFill="0" applyBorder="0" applyAlignment="0" applyProtection="0">
      <alignment vertical="center"/>
    </xf>
    <xf numFmtId="0" fontId="26" fillId="0" borderId="0">
      <alignment vertical="center"/>
    </xf>
    <xf numFmtId="0" fontId="27" fillId="14" borderId="5" applyProtection="0">
      <alignment vertical="center"/>
    </xf>
    <xf numFmtId="0" fontId="24" fillId="0" borderId="0" applyNumberFormat="0" applyFill="0" applyBorder="0" applyAlignment="0" applyProtection="0">
      <alignment vertical="center"/>
    </xf>
  </cellStyleXfs>
  <cellXfs count="129">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8" fillId="0" borderId="0" xfId="0" applyFont="1">
      <alignment vertical="center"/>
    </xf>
    <xf numFmtId="0" fontId="10" fillId="0" borderId="0" xfId="0" applyFont="1">
      <alignment vertical="center"/>
    </xf>
    <xf numFmtId="0" fontId="7" fillId="0" borderId="0" xfId="0" applyFont="1" applyAlignment="1">
      <alignment horizontal="left" vertical="center"/>
    </xf>
    <xf numFmtId="0" fontId="7" fillId="0" borderId="0" xfId="0" applyFont="1">
      <alignment vertical="center"/>
    </xf>
    <xf numFmtId="0" fontId="3" fillId="0" borderId="0" xfId="0" applyFont="1" applyAlignment="1">
      <alignment horizontal="center" vertical="center"/>
    </xf>
    <xf numFmtId="0" fontId="7" fillId="4" borderId="0" xfId="0" applyFont="1" applyFill="1">
      <alignment vertical="center"/>
    </xf>
    <xf numFmtId="0" fontId="14" fillId="4" borderId="0" xfId="0" applyFont="1" applyFill="1" applyAlignment="1" applyProtection="1">
      <alignment horizontal="center" vertical="center"/>
      <protection locked="0"/>
    </xf>
    <xf numFmtId="0" fontId="7" fillId="3" borderId="1" xfId="0" applyFont="1" applyFill="1" applyBorder="1" applyAlignment="1">
      <alignment horizontal="center" vertical="center"/>
    </xf>
    <xf numFmtId="0" fontId="7" fillId="3" borderId="3" xfId="0" applyFont="1" applyFill="1" applyBorder="1" applyAlignment="1">
      <alignment horizontal="center" vertical="center"/>
    </xf>
    <xf numFmtId="9" fontId="3" fillId="0" borderId="0" xfId="0" applyNumberFormat="1" applyFont="1">
      <alignment vertical="center"/>
    </xf>
    <xf numFmtId="0" fontId="7" fillId="3" borderId="8" xfId="0" applyFont="1" applyFill="1" applyBorder="1" applyAlignment="1">
      <alignment horizontal="center" vertical="center"/>
    </xf>
    <xf numFmtId="9" fontId="7" fillId="3" borderId="9" xfId="0" applyNumberFormat="1" applyFont="1" applyFill="1" applyBorder="1" applyAlignment="1">
      <alignment horizontal="center" vertical="center"/>
    </xf>
    <xf numFmtId="0" fontId="7" fillId="3" borderId="11" xfId="0" applyFont="1" applyFill="1" applyBorder="1" applyAlignment="1">
      <alignment horizontal="center" vertical="center"/>
    </xf>
    <xf numFmtId="0" fontId="7" fillId="3" borderId="14" xfId="0" applyFont="1" applyFill="1" applyBorder="1" applyAlignment="1">
      <alignment horizontal="center" vertical="center"/>
    </xf>
    <xf numFmtId="0" fontId="7" fillId="2" borderId="18" xfId="0" applyFont="1" applyFill="1" applyBorder="1" applyAlignment="1">
      <alignment horizontal="center" vertical="center" wrapText="1"/>
    </xf>
    <xf numFmtId="0" fontId="7" fillId="12" borderId="18" xfId="0" applyFont="1" applyFill="1" applyBorder="1" applyAlignment="1">
      <alignment vertical="center" wrapText="1"/>
    </xf>
    <xf numFmtId="0" fontId="7" fillId="5" borderId="18" xfId="0" applyFont="1" applyFill="1" applyBorder="1" applyAlignment="1">
      <alignment vertical="center" wrapText="1"/>
    </xf>
    <xf numFmtId="0" fontId="5" fillId="0" borderId="18" xfId="0" applyFont="1" applyBorder="1" applyAlignment="1">
      <alignment vertical="center" wrapText="1"/>
    </xf>
    <xf numFmtId="0" fontId="7" fillId="0" borderId="18" xfId="0" applyFont="1" applyBorder="1" applyAlignment="1">
      <alignment horizontal="center" vertical="center"/>
    </xf>
    <xf numFmtId="0" fontId="5" fillId="8" borderId="18" xfId="0" applyFont="1" applyFill="1" applyBorder="1" applyAlignment="1">
      <alignment horizontal="center" vertical="center"/>
    </xf>
    <xf numFmtId="0" fontId="7" fillId="12" borderId="18" xfId="0" applyFont="1" applyFill="1" applyBorder="1" applyAlignment="1">
      <alignment horizontal="center" vertical="center"/>
    </xf>
    <xf numFmtId="0" fontId="7" fillId="8" borderId="18" xfId="0" applyFont="1" applyFill="1" applyBorder="1" applyAlignment="1">
      <alignment horizontal="left" vertical="center"/>
    </xf>
    <xf numFmtId="0" fontId="5" fillId="0" borderId="18" xfId="0" applyFont="1" applyBorder="1" applyAlignment="1">
      <alignment horizontal="left" vertical="center" wrapText="1"/>
    </xf>
    <xf numFmtId="0" fontId="5" fillId="0" borderId="18" xfId="0" applyFont="1" applyBorder="1" applyAlignment="1">
      <alignment horizontal="left" vertical="center"/>
    </xf>
    <xf numFmtId="0" fontId="7" fillId="8" borderId="18" xfId="0" applyFont="1" applyFill="1" applyBorder="1" applyAlignment="1">
      <alignment horizontal="left" vertical="center" wrapText="1"/>
    </xf>
    <xf numFmtId="0" fontId="3" fillId="8" borderId="18" xfId="0" applyFont="1" applyFill="1" applyBorder="1" applyAlignment="1">
      <alignment horizontal="center" vertical="center"/>
    </xf>
    <xf numFmtId="0" fontId="3" fillId="8" borderId="18" xfId="0" applyFont="1" applyFill="1" applyBorder="1">
      <alignment vertical="center"/>
    </xf>
    <xf numFmtId="0" fontId="7" fillId="10" borderId="18" xfId="0" applyFont="1" applyFill="1" applyBorder="1" applyAlignment="1">
      <alignment horizontal="left" vertical="center"/>
    </xf>
    <xf numFmtId="0" fontId="7" fillId="10" borderId="18" xfId="0" applyFont="1" applyFill="1" applyBorder="1" applyAlignment="1">
      <alignment horizontal="left" vertical="center" wrapText="1"/>
    </xf>
    <xf numFmtId="0" fontId="7" fillId="11" borderId="18" xfId="0" applyFont="1" applyFill="1" applyBorder="1">
      <alignment vertical="center"/>
    </xf>
    <xf numFmtId="0" fontId="7" fillId="11" borderId="18" xfId="0" applyFont="1" applyFill="1" applyBorder="1" applyAlignment="1">
      <alignment horizontal="left" vertical="center"/>
    </xf>
    <xf numFmtId="0" fontId="7" fillId="11" borderId="18" xfId="0" applyFont="1" applyFill="1" applyBorder="1" applyAlignment="1">
      <alignment horizontal="left" vertical="center" wrapText="1"/>
    </xf>
    <xf numFmtId="0" fontId="5" fillId="0" borderId="18" xfId="0" applyFont="1" applyBorder="1">
      <alignment vertical="center"/>
    </xf>
    <xf numFmtId="0" fontId="7" fillId="5" borderId="18" xfId="0" applyFont="1" applyFill="1" applyBorder="1">
      <alignment vertical="center"/>
    </xf>
    <xf numFmtId="0" fontId="14" fillId="0" borderId="0" xfId="0" applyFont="1" applyAlignment="1" applyProtection="1">
      <alignment horizontal="center" vertical="center"/>
      <protection locked="0"/>
    </xf>
    <xf numFmtId="0" fontId="7" fillId="2" borderId="18" xfId="0" applyFont="1" applyFill="1" applyBorder="1">
      <alignment vertical="center"/>
    </xf>
    <xf numFmtId="9" fontId="7" fillId="0" borderId="25" xfId="2" applyFont="1" applyFill="1" applyBorder="1" applyAlignment="1">
      <alignment horizontal="center" vertical="center"/>
    </xf>
    <xf numFmtId="0" fontId="7" fillId="0" borderId="25" xfId="0" applyFont="1" applyBorder="1" applyAlignment="1">
      <alignment horizontal="center" vertical="center"/>
    </xf>
    <xf numFmtId="0" fontId="5" fillId="8" borderId="18" xfId="0" applyFont="1" applyFill="1" applyBorder="1" applyAlignment="1">
      <alignment horizontal="center" vertical="center" wrapText="1"/>
    </xf>
    <xf numFmtId="0" fontId="5" fillId="8" borderId="18" xfId="0" applyFont="1" applyFill="1" applyBorder="1" applyAlignment="1">
      <alignment horizontal="center" vertical="top" wrapText="1"/>
    </xf>
    <xf numFmtId="0" fontId="24" fillId="8" borderId="18" xfId="103" applyFill="1" applyBorder="1" applyAlignment="1">
      <alignment horizontal="center" vertical="center" wrapText="1"/>
    </xf>
    <xf numFmtId="0" fontId="24" fillId="8" borderId="18" xfId="103" applyFill="1" applyBorder="1" applyAlignment="1">
      <alignment horizontal="center" vertical="top" wrapText="1"/>
    </xf>
    <xf numFmtId="0" fontId="24" fillId="8" borderId="18" xfId="103" applyFill="1" applyBorder="1" applyAlignment="1">
      <alignment horizontal="center" vertical="center"/>
    </xf>
    <xf numFmtId="14" fontId="5" fillId="8" borderId="18" xfId="0" applyNumberFormat="1" applyFont="1" applyFill="1" applyBorder="1" applyAlignment="1">
      <alignment horizontal="center" vertical="center"/>
    </xf>
    <xf numFmtId="0" fontId="5" fillId="8" borderId="18" xfId="0" applyFont="1" applyFill="1" applyBorder="1" applyAlignment="1">
      <alignment horizontal="left" vertical="center" wrapText="1"/>
    </xf>
    <xf numFmtId="0" fontId="5" fillId="8" borderId="18" xfId="0" applyFont="1" applyFill="1" applyBorder="1" applyAlignment="1">
      <alignment horizontal="left" vertical="center"/>
    </xf>
    <xf numFmtId="14" fontId="3" fillId="8" borderId="18" xfId="0" applyNumberFormat="1" applyFont="1" applyFill="1" applyBorder="1" applyAlignment="1">
      <alignment horizontal="center" vertical="center"/>
    </xf>
    <xf numFmtId="0" fontId="5" fillId="8" borderId="18" xfId="0" quotePrefix="1" applyFont="1" applyFill="1" applyBorder="1" applyAlignment="1">
      <alignment horizontal="left" vertical="center" wrapText="1"/>
    </xf>
    <xf numFmtId="0" fontId="5" fillId="8" borderId="18" xfId="0" quotePrefix="1" applyFont="1" applyFill="1" applyBorder="1" applyAlignment="1">
      <alignment horizontal="left" vertical="center"/>
    </xf>
    <xf numFmtId="0" fontId="5" fillId="8" borderId="18" xfId="0" applyFont="1" applyFill="1" applyBorder="1" applyAlignment="1">
      <alignment horizontal="left" vertical="top" wrapText="1"/>
    </xf>
    <xf numFmtId="0" fontId="24" fillId="8" borderId="18" xfId="103" applyFill="1" applyBorder="1" applyAlignment="1">
      <alignment vertical="center" wrapText="1"/>
    </xf>
    <xf numFmtId="0" fontId="5" fillId="8" borderId="18" xfId="0" quotePrefix="1" applyFont="1" applyFill="1" applyBorder="1" applyAlignment="1">
      <alignment horizontal="center" vertical="center"/>
    </xf>
    <xf numFmtId="0" fontId="5" fillId="8" borderId="18" xfId="0" applyFont="1" applyFill="1" applyBorder="1">
      <alignment vertical="center"/>
    </xf>
    <xf numFmtId="0" fontId="7" fillId="12" borderId="18" xfId="0" applyFont="1" applyFill="1" applyBorder="1" applyAlignment="1">
      <alignment horizontal="center" vertical="center"/>
    </xf>
    <xf numFmtId="0" fontId="5" fillId="4" borderId="26" xfId="0" applyFont="1" applyFill="1" applyBorder="1" applyAlignment="1">
      <alignment horizontal="left" vertical="center" wrapText="1"/>
    </xf>
    <xf numFmtId="0" fontId="5" fillId="4" borderId="27" xfId="0" applyFont="1" applyFill="1" applyBorder="1" applyAlignment="1">
      <alignment horizontal="left" vertical="center" wrapText="1"/>
    </xf>
    <xf numFmtId="0" fontId="5" fillId="4" borderId="28" xfId="0" applyFont="1" applyFill="1" applyBorder="1" applyAlignment="1">
      <alignment horizontal="left" vertical="center" wrapText="1"/>
    </xf>
    <xf numFmtId="0" fontId="5" fillId="0" borderId="26" xfId="0" quotePrefix="1" applyFont="1" applyBorder="1" applyAlignment="1">
      <alignment horizontal="left" vertical="center" wrapText="1"/>
    </xf>
    <xf numFmtId="0" fontId="5" fillId="0" borderId="27" xfId="0" applyFont="1" applyBorder="1" applyAlignment="1">
      <alignment horizontal="left" vertical="center"/>
    </xf>
    <xf numFmtId="0" fontId="5" fillId="0" borderId="28" xfId="0" applyFont="1" applyBorder="1" applyAlignment="1">
      <alignment horizontal="left" vertical="center"/>
    </xf>
    <xf numFmtId="0" fontId="5" fillId="0" borderId="18" xfId="0" quotePrefix="1" applyFont="1" applyBorder="1" applyAlignment="1">
      <alignment horizontal="left" vertical="center" wrapText="1"/>
    </xf>
    <xf numFmtId="0" fontId="5" fillId="0" borderId="18" xfId="0" applyFont="1" applyBorder="1" applyAlignment="1">
      <alignment horizontal="left" vertical="center"/>
    </xf>
    <xf numFmtId="0" fontId="5" fillId="4" borderId="26" xfId="0" applyFont="1" applyFill="1" applyBorder="1" applyAlignment="1">
      <alignment horizontal="left" vertical="top" wrapText="1"/>
    </xf>
    <xf numFmtId="0" fontId="5" fillId="4" borderId="27" xfId="0" applyFont="1" applyFill="1" applyBorder="1" applyAlignment="1">
      <alignment horizontal="left" vertical="top"/>
    </xf>
    <xf numFmtId="0" fontId="5" fillId="4" borderId="28" xfId="0" applyFont="1" applyFill="1" applyBorder="1" applyAlignment="1">
      <alignment horizontal="left" vertical="top"/>
    </xf>
    <xf numFmtId="0" fontId="5" fillId="4" borderId="27" xfId="0" applyFont="1" applyFill="1" applyBorder="1" applyAlignment="1">
      <alignment horizontal="left" vertical="center"/>
    </xf>
    <xf numFmtId="0" fontId="5" fillId="4" borderId="28" xfId="0" applyFont="1" applyFill="1" applyBorder="1" applyAlignment="1">
      <alignment horizontal="left" vertical="center"/>
    </xf>
    <xf numFmtId="0" fontId="5" fillId="4" borderId="27" xfId="0" applyFont="1" applyFill="1" applyBorder="1" applyAlignment="1">
      <alignment horizontal="left" vertical="top" wrapText="1"/>
    </xf>
    <xf numFmtId="0" fontId="5" fillId="4" borderId="28" xfId="0" applyFont="1" applyFill="1" applyBorder="1" applyAlignment="1">
      <alignment horizontal="left" vertical="top" wrapText="1"/>
    </xf>
    <xf numFmtId="0" fontId="19" fillId="13" borderId="1" xfId="0" applyFont="1" applyFill="1" applyBorder="1" applyAlignment="1">
      <alignment horizontal="center" vertical="center"/>
    </xf>
    <xf numFmtId="0" fontId="5" fillId="4" borderId="18" xfId="0" applyFont="1" applyFill="1" applyBorder="1" applyAlignment="1">
      <alignment horizontal="left" vertical="center" wrapText="1"/>
    </xf>
    <xf numFmtId="0" fontId="13" fillId="7" borderId="4" xfId="0" applyFont="1" applyFill="1" applyBorder="1" applyAlignment="1" applyProtection="1">
      <alignment horizontal="center" vertical="center"/>
      <protection locked="0"/>
    </xf>
    <xf numFmtId="0" fontId="13" fillId="7" borderId="1" xfId="0" applyFont="1" applyFill="1" applyBorder="1" applyAlignment="1" applyProtection="1">
      <alignment horizontal="center" vertical="center"/>
      <protection locked="0"/>
    </xf>
    <xf numFmtId="0" fontId="13" fillId="7" borderId="2" xfId="0" applyFont="1" applyFill="1" applyBorder="1" applyAlignment="1" applyProtection="1">
      <alignment horizontal="center" vertical="center"/>
      <protection locked="0"/>
    </xf>
    <xf numFmtId="0" fontId="14" fillId="5" borderId="4"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14" fillId="5" borderId="2" xfId="0" applyFont="1" applyFill="1" applyBorder="1" applyAlignment="1" applyProtection="1">
      <alignment horizontal="center" vertical="center"/>
      <protection locked="0"/>
    </xf>
    <xf numFmtId="0" fontId="14" fillId="8" borderId="4" xfId="0"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protection locked="0"/>
    </xf>
    <xf numFmtId="0" fontId="14" fillId="8" borderId="2" xfId="0" applyFont="1" applyFill="1" applyBorder="1" applyAlignment="1" applyProtection="1">
      <alignment horizontal="center" vertical="center"/>
      <protection locked="0"/>
    </xf>
    <xf numFmtId="0" fontId="14" fillId="11" borderId="4" xfId="0" applyFont="1" applyFill="1" applyBorder="1" applyAlignment="1" applyProtection="1">
      <alignment horizontal="center" vertical="center"/>
      <protection locked="0"/>
    </xf>
    <xf numFmtId="0" fontId="14" fillId="11" borderId="1" xfId="0" applyFont="1" applyFill="1" applyBorder="1" applyAlignment="1" applyProtection="1">
      <alignment horizontal="center" vertical="center"/>
      <protection locked="0"/>
    </xf>
    <xf numFmtId="0" fontId="14" fillId="11" borderId="2" xfId="0" applyFont="1" applyFill="1" applyBorder="1" applyAlignment="1" applyProtection="1">
      <alignment horizontal="center" vertical="center"/>
      <protection locked="0"/>
    </xf>
    <xf numFmtId="0" fontId="14" fillId="10" borderId="4" xfId="0" applyFont="1" applyFill="1" applyBorder="1" applyAlignment="1" applyProtection="1">
      <alignment horizontal="center" vertical="center"/>
      <protection locked="0"/>
    </xf>
    <xf numFmtId="0" fontId="14" fillId="10" borderId="1" xfId="0" applyFont="1" applyFill="1" applyBorder="1" applyAlignment="1" applyProtection="1">
      <alignment horizontal="center" vertical="center"/>
      <protection locked="0"/>
    </xf>
    <xf numFmtId="0" fontId="14" fillId="10" borderId="2" xfId="0" applyFont="1" applyFill="1" applyBorder="1" applyAlignment="1" applyProtection="1">
      <alignment horizontal="center" vertical="center"/>
      <protection locked="0"/>
    </xf>
    <xf numFmtId="0" fontId="7" fillId="2" borderId="18" xfId="0" applyFont="1" applyFill="1" applyBorder="1" applyAlignment="1">
      <alignment horizontal="center" vertical="center"/>
    </xf>
    <xf numFmtId="0" fontId="7" fillId="5" borderId="18" xfId="0" applyFont="1" applyFill="1" applyBorder="1" applyAlignment="1">
      <alignment horizontal="center" vertical="center"/>
    </xf>
    <xf numFmtId="0" fontId="7" fillId="6" borderId="18" xfId="0" applyFont="1" applyFill="1" applyBorder="1" applyAlignment="1">
      <alignment horizontal="center" vertical="center"/>
    </xf>
    <xf numFmtId="0" fontId="5" fillId="4" borderId="18" xfId="0" applyFont="1" applyFill="1" applyBorder="1" applyAlignment="1">
      <alignment horizontal="left" vertical="center"/>
    </xf>
    <xf numFmtId="0" fontId="15" fillId="4" borderId="18" xfId="0" applyFont="1" applyFill="1" applyBorder="1" applyAlignment="1">
      <alignment horizontal="left" vertical="center" wrapText="1"/>
    </xf>
    <xf numFmtId="0" fontId="15" fillId="4" borderId="18" xfId="0" applyFont="1" applyFill="1" applyBorder="1" applyAlignment="1">
      <alignment horizontal="left" vertical="center"/>
    </xf>
    <xf numFmtId="9" fontId="7" fillId="0" borderId="7" xfId="2" applyFont="1" applyFill="1" applyBorder="1" applyAlignment="1">
      <alignment horizontal="center" vertical="center"/>
    </xf>
    <xf numFmtId="9" fontId="7" fillId="0" borderId="6" xfId="2" applyFont="1" applyFill="1" applyBorder="1" applyAlignment="1">
      <alignment horizontal="center" vertical="center"/>
    </xf>
    <xf numFmtId="0" fontId="19" fillId="13" borderId="3" xfId="0" applyFont="1" applyFill="1" applyBorder="1" applyAlignment="1">
      <alignment horizontal="left" vertical="center"/>
    </xf>
    <xf numFmtId="0" fontId="5" fillId="0" borderId="18" xfId="0" applyFont="1" applyBorder="1" applyAlignment="1">
      <alignment horizontal="left" vertical="center" wrapText="1"/>
    </xf>
    <xf numFmtId="0" fontId="5" fillId="4" borderId="18" xfId="0" quotePrefix="1" applyFont="1" applyFill="1" applyBorder="1" applyAlignment="1">
      <alignment horizontal="left" vertical="center" wrapText="1"/>
    </xf>
    <xf numFmtId="0" fontId="7" fillId="12" borderId="18" xfId="0" applyFont="1" applyFill="1" applyBorder="1" applyAlignment="1">
      <alignment horizontal="center" vertical="center" wrapText="1"/>
    </xf>
    <xf numFmtId="9" fontId="7" fillId="0" borderId="10" xfId="2" applyFont="1" applyFill="1" applyBorder="1" applyAlignment="1">
      <alignment horizontal="center" vertical="center"/>
    </xf>
    <xf numFmtId="9" fontId="7" fillId="0" borderId="12" xfId="2" applyFont="1" applyFill="1" applyBorder="1" applyAlignment="1">
      <alignment horizontal="center" vertical="center"/>
    </xf>
    <xf numFmtId="9" fontId="7" fillId="0" borderId="15" xfId="2" applyFont="1" applyFill="1" applyBorder="1" applyAlignment="1">
      <alignment horizontal="center" vertical="center"/>
    </xf>
    <xf numFmtId="0" fontId="28" fillId="0" borderId="18" xfId="0" applyFont="1" applyBorder="1" applyAlignment="1">
      <alignment horizontal="center" vertical="center"/>
    </xf>
    <xf numFmtId="0" fontId="7" fillId="0" borderId="18" xfId="0" applyFont="1" applyBorder="1" applyAlignment="1">
      <alignment horizontal="center" vertical="center"/>
    </xf>
    <xf numFmtId="14" fontId="7" fillId="0" borderId="18" xfId="0" applyNumberFormat="1" applyFont="1" applyBorder="1" applyAlignment="1">
      <alignment horizontal="center" vertical="center"/>
    </xf>
    <xf numFmtId="0" fontId="7" fillId="10" borderId="22" xfId="0" applyFont="1" applyFill="1" applyBorder="1" applyAlignment="1">
      <alignment horizontal="center" vertical="center"/>
    </xf>
    <xf numFmtId="0" fontId="7" fillId="10" borderId="23" xfId="0" applyFont="1" applyFill="1" applyBorder="1" applyAlignment="1">
      <alignment horizontal="center" vertical="center"/>
    </xf>
    <xf numFmtId="0" fontId="7" fillId="10" borderId="24" xfId="0" applyFont="1" applyFill="1" applyBorder="1" applyAlignment="1">
      <alignment horizontal="center" vertical="center"/>
    </xf>
    <xf numFmtId="9" fontId="20" fillId="10" borderId="22" xfId="2" applyFont="1" applyFill="1" applyBorder="1" applyAlignment="1">
      <alignment horizontal="center" vertical="center"/>
    </xf>
    <xf numFmtId="9" fontId="20" fillId="10" borderId="17" xfId="2" applyFont="1" applyFill="1" applyBorder="1" applyAlignment="1">
      <alignment horizontal="center" vertical="center"/>
    </xf>
    <xf numFmtId="9" fontId="20" fillId="10" borderId="23" xfId="2" applyFont="1" applyFill="1" applyBorder="1" applyAlignment="1">
      <alignment horizontal="center" vertical="center"/>
    </xf>
    <xf numFmtId="9" fontId="20" fillId="10" borderId="20" xfId="2" applyFont="1" applyFill="1" applyBorder="1" applyAlignment="1">
      <alignment horizontal="center" vertical="center"/>
    </xf>
    <xf numFmtId="9" fontId="20" fillId="10" borderId="24" xfId="2" applyFont="1" applyFill="1" applyBorder="1" applyAlignment="1">
      <alignment horizontal="center" vertical="center"/>
    </xf>
    <xf numFmtId="9" fontId="20" fillId="10" borderId="21" xfId="2" applyFont="1" applyFill="1" applyBorder="1" applyAlignment="1">
      <alignment horizontal="center" vertical="center"/>
    </xf>
    <xf numFmtId="0" fontId="7" fillId="10" borderId="16" xfId="0" applyFont="1" applyFill="1" applyBorder="1" applyAlignment="1">
      <alignment horizontal="center" vertical="center"/>
    </xf>
    <xf numFmtId="0" fontId="7" fillId="10" borderId="0" xfId="0" applyFont="1" applyFill="1" applyAlignment="1">
      <alignment horizontal="center" vertical="center"/>
    </xf>
    <xf numFmtId="0" fontId="7" fillId="10" borderId="19" xfId="0" applyFont="1" applyFill="1" applyBorder="1" applyAlignment="1">
      <alignment horizontal="center" vertical="center"/>
    </xf>
    <xf numFmtId="0" fontId="7" fillId="0" borderId="1" xfId="0" applyFont="1" applyBorder="1" applyAlignment="1">
      <alignment horizontal="center" vertical="center"/>
    </xf>
    <xf numFmtId="0" fontId="12" fillId="0" borderId="1" xfId="0" applyFont="1" applyBorder="1" applyAlignment="1">
      <alignment horizontal="center" vertical="center"/>
    </xf>
    <xf numFmtId="0" fontId="7" fillId="0" borderId="3" xfId="0" applyFont="1" applyBorder="1" applyAlignment="1">
      <alignment horizontal="center" vertical="center"/>
    </xf>
    <xf numFmtId="9" fontId="7" fillId="0" borderId="13" xfId="2" applyFont="1" applyFill="1" applyBorder="1" applyAlignment="1">
      <alignment horizontal="center" vertical="center"/>
    </xf>
    <xf numFmtId="0" fontId="29" fillId="15" borderId="26" xfId="0" applyFont="1" applyFill="1" applyBorder="1" applyAlignment="1">
      <alignment vertical="top" wrapText="1"/>
    </xf>
    <xf numFmtId="0" fontId="29" fillId="15" borderId="27" xfId="0" applyFont="1" applyFill="1" applyBorder="1" applyAlignment="1">
      <alignment vertical="top" wrapText="1"/>
    </xf>
    <xf numFmtId="0" fontId="29" fillId="15" borderId="28" xfId="0" applyFont="1" applyFill="1" applyBorder="1" applyAlignment="1">
      <alignment vertical="top" wrapText="1"/>
    </xf>
  </cellXfs>
  <cellStyles count="104">
    <cellStyle name="백분율" xfId="2" builtinId="5"/>
    <cellStyle name="백분율 2" xfId="12" xr:uid="{6A67D281-4F9A-4E5E-BC18-AB120F81B1F6}"/>
    <cellStyle name="셀 확인 2" xfId="8" xr:uid="{B7111565-CF08-4735-AB93-7B1758A7DF65}"/>
    <cellStyle name="표준" xfId="0" builtinId="0"/>
    <cellStyle name="표준 10" xfId="101" xr:uid="{5B5F754D-D739-4860-82B9-54333878055A}"/>
    <cellStyle name="표준 2" xfId="1" xr:uid="{8A6ABFB9-2E76-4A44-A006-112062A498D1}"/>
    <cellStyle name="표준 2 2" xfId="7" xr:uid="{8FC0300B-9B37-40EC-8A98-63503BC4DF77}"/>
    <cellStyle name="표준 2 2 2" xfId="97" xr:uid="{41182CC3-D77F-4136-89DA-99295700F99A}"/>
    <cellStyle name="표준 2 3" xfId="25" xr:uid="{52AB1435-C42F-4031-9332-F606CC537220}"/>
    <cellStyle name="표준 2 4" xfId="95" xr:uid="{D71BE91C-C9FA-44B5-9025-AED9A0C576B9}"/>
    <cellStyle name="표준 2 5" xfId="16" xr:uid="{1C0A386F-0BEF-4388-A4EA-533206E4AD4F}"/>
    <cellStyle name="표준 3" xfId="5" xr:uid="{878C1539-D841-4452-8272-4B08F4E1FC3D}"/>
    <cellStyle name="표준 3 2" xfId="10" xr:uid="{496401BA-5C2F-4613-BF80-B819A165B27D}"/>
    <cellStyle name="표준 3 2 2" xfId="24" xr:uid="{A3EF746C-0558-4DB1-8BE1-8CAA1AD79837}"/>
    <cellStyle name="표준 3 2 2 2" xfId="90" xr:uid="{051488F6-C6EC-4F8C-AC6A-47EC9F7362FF}"/>
    <cellStyle name="표준 3 2 3" xfId="88" xr:uid="{F4450A9B-211F-4E9D-A6BD-67582B284577}"/>
    <cellStyle name="표준 3 2 4" xfId="96" xr:uid="{BE461C0A-21C6-4F6D-B4FB-691F32234D62}"/>
    <cellStyle name="표준 3 2 5" xfId="20" xr:uid="{18E016BA-0193-4280-83AD-5D7E233F22E8}"/>
    <cellStyle name="표준 3 3" xfId="11" xr:uid="{2386E83F-8C9B-4435-9958-C9EFA53A676E}"/>
    <cellStyle name="표준 3 3 2" xfId="91" xr:uid="{FCD79CF6-1606-4555-8F2D-AD72BF5F9C37}"/>
    <cellStyle name="표준 3 3 3" xfId="99" xr:uid="{85A924FE-5D7A-4492-90CD-F4B9ECE40C5C}"/>
    <cellStyle name="표준 3 3 4" xfId="85" xr:uid="{BC2F0D75-64A3-49A5-BFEF-46FACB84C006}"/>
    <cellStyle name="표준 3 4" xfId="19" xr:uid="{9B625274-A556-4DB5-A1F6-149BC385E402}"/>
    <cellStyle name="표준 3 4 2" xfId="92" xr:uid="{348B7FB9-FC26-4589-A111-CA80280913C3}"/>
    <cellStyle name="표준 3 4 3" xfId="86" xr:uid="{85FC43B0-110B-4D0F-8ACB-FFFDC6ACB2E3}"/>
    <cellStyle name="표준 3 5" xfId="27" xr:uid="{EEAF66A4-8768-4DE3-A635-411210470635}"/>
    <cellStyle name="표준 3 5 2" xfId="89" xr:uid="{8F1CB1DB-C627-422E-9F13-0B4FB7019B8C}"/>
    <cellStyle name="표준 3 6" xfId="87" xr:uid="{BDAF3B7F-28ED-4E87-85BF-AA876EB829F8}"/>
    <cellStyle name="표준 3 7" xfId="94" xr:uid="{A3F8C63A-F7C9-4D14-969C-EEDD7D72E8D5}"/>
    <cellStyle name="표준 3 8" xfId="17" xr:uid="{5D6B7847-1DEC-4C3F-B0ED-0A34189EAEF3}"/>
    <cellStyle name="표준 4" xfId="6" xr:uid="{2F016C74-5516-489F-9514-A89EBFC9C50B}"/>
    <cellStyle name="표준 4 2" xfId="21" xr:uid="{B1B6769D-EB8C-4651-A162-6DA044B975CF}"/>
    <cellStyle name="표준 4 2 2" xfId="32" xr:uid="{E1578A80-8678-44F5-89EA-505D71A82B64}"/>
    <cellStyle name="표준 4 2 2 2" xfId="40" xr:uid="{6DDF17CC-4938-4B1B-B135-52CD04F35029}"/>
    <cellStyle name="표준 4 2 2 2 2" xfId="70" xr:uid="{2922A38F-FB0D-4878-B68E-381B8C9BD264}"/>
    <cellStyle name="표준 4 2 2 3" xfId="52" xr:uid="{67AB30FD-18DA-441E-BD50-E808821C38ED}"/>
    <cellStyle name="표준 4 2 2 3 2" xfId="82" xr:uid="{DF3012D5-69C3-485F-A9CE-9F173B8C50C2}"/>
    <cellStyle name="표준 4 2 2 4" xfId="61" xr:uid="{339B76E7-1B47-46D1-8A3A-DF73A831E372}"/>
    <cellStyle name="표준 4 2 3" xfId="36" xr:uid="{6885DD5E-751C-43ED-B2E3-0368814A71B5}"/>
    <cellStyle name="표준 4 2 3 2" xfId="66" xr:uid="{29DF9C09-DE78-4E7C-BCCF-76088FC37F5C}"/>
    <cellStyle name="표준 4 2 4" xfId="48" xr:uid="{767D70D7-C400-489E-B5DD-2C0F0621454C}"/>
    <cellStyle name="표준 4 2 4 2" xfId="78" xr:uid="{C539A0C9-E3D2-49DD-8AAA-A5B75A6EE52E}"/>
    <cellStyle name="표준 4 2 4 3" xfId="98" xr:uid="{C155A5EF-29C7-48F6-8671-F104F82F2083}"/>
    <cellStyle name="표준 4 2 5" xfId="57" xr:uid="{498B6FA4-E19B-40AD-B63A-D955090940AE}"/>
    <cellStyle name="표준 4 3" xfId="22" xr:uid="{889E97BC-0431-4EB6-A4AB-89E26ED57549}"/>
    <cellStyle name="표준 4 3 2" xfId="30" xr:uid="{6AF8017D-5AED-4C11-ACBF-1AD1CC517494}"/>
    <cellStyle name="표준 4 3 2 2" xfId="38" xr:uid="{BAE8165C-445E-4E72-BD94-96D211D37531}"/>
    <cellStyle name="표준 4 3 2 2 2" xfId="68" xr:uid="{3B4DBE79-B3F7-42B7-AE7E-11713767B98B}"/>
    <cellStyle name="표준 4 3 2 3" xfId="50" xr:uid="{4404111C-C68C-4E51-9E72-9C0C7797E8CD}"/>
    <cellStyle name="표준 4 3 2 3 2" xfId="80" xr:uid="{F35981DA-D059-4BBA-A009-224B6688D805}"/>
    <cellStyle name="표준 4 3 2 4" xfId="59" xr:uid="{FDDC5E35-068E-4F7F-9D71-320EB869F69A}"/>
    <cellStyle name="표준 4 3 3" xfId="34" xr:uid="{AD6E7074-53BD-4E61-B687-56CA2CDD4D93}"/>
    <cellStyle name="표준 4 3 3 2" xfId="64" xr:uid="{F8E02117-99E0-4725-BF15-92052EDC5E3A}"/>
    <cellStyle name="표준 4 3 4" xfId="46" xr:uid="{712948AF-0131-4C31-971C-76710F46A400}"/>
    <cellStyle name="표준 4 3 4 2" xfId="76" xr:uid="{28E356C4-93A2-43C9-ABAC-7B482AC2EF79}"/>
    <cellStyle name="표준 4 3 5" xfId="55" xr:uid="{FCA58A4C-7E6B-4599-9E0B-807E25FF1768}"/>
    <cellStyle name="표준 4 3 6" xfId="28" xr:uid="{C7F7A524-6C8C-41BE-80E8-D18D9C3092E0}"/>
    <cellStyle name="표준 4 4" xfId="29" xr:uid="{A6347FFC-86F6-4186-B598-E17EBCEEBDCE}"/>
    <cellStyle name="표준 4 4 2" xfId="37" xr:uid="{E0FFF4B1-9E88-45CE-AAD1-D46A2C6A8321}"/>
    <cellStyle name="표준 4 4 2 2" xfId="67" xr:uid="{A24E3FC2-A500-4CDD-AE27-C3C1496C649C}"/>
    <cellStyle name="표준 4 4 3" xfId="49" xr:uid="{64E93522-0C72-4862-A8C8-1537044330E0}"/>
    <cellStyle name="표준 4 4 3 2" xfId="79" xr:uid="{1A0AA6F2-F492-4304-88A5-DAFD40A378A8}"/>
    <cellStyle name="표준 4 4 4" xfId="58" xr:uid="{44D80996-FFE3-4DF4-82C9-D8FDBA68358F}"/>
    <cellStyle name="표준 4 5" xfId="33" xr:uid="{36C999DC-5CF4-4472-9260-345955D43E6C}"/>
    <cellStyle name="표준 4 5 2" xfId="63" xr:uid="{E678FCA9-0B3C-48F7-8FB1-6709E3254C68}"/>
    <cellStyle name="표준 4 6" xfId="45" xr:uid="{641E3FED-E926-4232-9943-0FA7B2575BEF}"/>
    <cellStyle name="표준 4 6 2" xfId="75" xr:uid="{614864A0-11D8-4E73-95E5-4D72B5F4DB6F}"/>
    <cellStyle name="표준 4 7" xfId="54" xr:uid="{D3FBD028-43EF-4DFA-9DE1-F204D5B89A86}"/>
    <cellStyle name="표준 4 8" xfId="18" xr:uid="{00DED533-14DE-425F-995C-FD97114AA99B}"/>
    <cellStyle name="표준 5" xfId="9" xr:uid="{DCAAEB4A-9330-4E00-BBCA-42839C92D4A0}"/>
    <cellStyle name="표준 5 2" xfId="31" xr:uid="{CB31794A-FAD6-4AD7-B621-44F358B04DD8}"/>
    <cellStyle name="표준 5 2 2" xfId="39" xr:uid="{A76A1283-1D6D-47F8-B79B-E6094BCF5EDB}"/>
    <cellStyle name="표준 5 2 2 2" xfId="69" xr:uid="{56F46E8C-57F5-45BB-89F5-95AB74B5B3BF}"/>
    <cellStyle name="표준 5 2 3" xfId="51" xr:uid="{2B1C64CB-A266-44FB-946C-BA971754A820}"/>
    <cellStyle name="표준 5 2 3 2" xfId="81" xr:uid="{47F078C6-3DEC-4E80-9CA8-2292C38A8FA5}"/>
    <cellStyle name="표준 5 2 4" xfId="60" xr:uid="{E3E1F71B-9717-4890-ABEE-48809E80E561}"/>
    <cellStyle name="표준 5 3" xfId="35" xr:uid="{599675FD-3CC2-4E9D-902C-252533EFA1E1}"/>
    <cellStyle name="표준 5 3 2" xfId="65" xr:uid="{B9E2FA60-956F-40B5-8F61-5CAA0CC78290}"/>
    <cellStyle name="표준 5 4" xfId="47" xr:uid="{4C920421-3E20-47A1-9487-77240EF71CDC}"/>
    <cellStyle name="표준 5 4 2" xfId="77" xr:uid="{E40C2F69-EE73-4067-9E0D-E0EDDDAB6280}"/>
    <cellStyle name="표준 5 5" xfId="56" xr:uid="{201FEBAC-4A0B-4EC7-9B10-E78D0705C9F0}"/>
    <cellStyle name="표준 6" xfId="13" xr:uid="{6428FCD5-B4EE-4ACA-8947-E62CD87430A0}"/>
    <cellStyle name="표준 6 2" xfId="41" xr:uid="{1CF848F0-5786-4E85-A514-99A2A5197C4D}"/>
    <cellStyle name="표준 6 2 2" xfId="71" xr:uid="{EDEE4DF2-D381-4C3C-AD61-861A4C6DE328}"/>
    <cellStyle name="표준 6 3" xfId="43" xr:uid="{882163C9-8658-4BBE-9A2E-F08EE42A2C79}"/>
    <cellStyle name="표준 6 3 2" xfId="73" xr:uid="{B2638FC4-D011-43F1-91C1-9611F64B8D00}"/>
    <cellStyle name="표준 6 4" xfId="53" xr:uid="{9345A133-0AF0-4C40-8AD8-4032BD6B3032}"/>
    <cellStyle name="표준 6 4 2" xfId="83" xr:uid="{7C76BFEB-20FC-4642-8616-07A5F0C2BE08}"/>
    <cellStyle name="표준 6 5" xfId="62" xr:uid="{8D048EC7-FCE0-4364-8FB3-9838232DB21E}"/>
    <cellStyle name="표준 6 6" xfId="93" xr:uid="{2DCC7BD5-F996-41A7-837D-D619C05CB241}"/>
    <cellStyle name="표준 7" xfId="4" xr:uid="{158C7159-5E75-4E0D-9719-C11D1882B626}"/>
    <cellStyle name="표준 7 2" xfId="14" xr:uid="{FD211026-41D2-4435-A3E6-12ECA9DB4E94}"/>
    <cellStyle name="표준 7 3" xfId="72" xr:uid="{FF14A908-7E92-4DA7-8DF8-ABAF3993CC49}"/>
    <cellStyle name="표준 7 4" xfId="42" xr:uid="{5F688D68-BA88-414A-9D0C-2C4AF04483E1}"/>
    <cellStyle name="표준 8" xfId="15" xr:uid="{FF12E126-AAB9-43C5-9062-542FDB039CEA}"/>
    <cellStyle name="표준 8 2" xfId="74" xr:uid="{AEE3CFB3-B66A-47FB-95C3-535E29683FE1}"/>
    <cellStyle name="표준 8 3" xfId="44" xr:uid="{D4F55E58-6498-4CBE-98C4-B9CA72CD8575}"/>
    <cellStyle name="표준 9" xfId="26" xr:uid="{9E11634C-AA37-442D-865F-F207CA929849}"/>
    <cellStyle name="하이퍼링크" xfId="103" builtinId="8"/>
    <cellStyle name="하이퍼링크 2" xfId="23" xr:uid="{7F4029AA-BBB2-4BFF-A8B9-EDDE43D7EEF4}"/>
    <cellStyle name="하이퍼링크 2 2" xfId="84" xr:uid="{BF28785E-4966-4645-BC19-0B1440D280FD}"/>
    <cellStyle name="하이퍼링크 3" xfId="100" xr:uid="{1617A6B2-7107-440F-BFE4-91600878DE16}"/>
    <cellStyle name="Normal 2" xfId="3" xr:uid="{21CA2985-BC18-4EDB-B9A1-B523A9586319}"/>
    <cellStyle name="TableStyleLight1" xfId="102" xr:uid="{942842DE-7399-402E-82AD-2B3235F537EC}"/>
  </cellStyles>
  <dxfs count="4">
    <dxf>
      <font>
        <b/>
        <i val="0"/>
        <color theme="1"/>
      </font>
      <fill>
        <patternFill>
          <bgColor theme="4" tint="0.59996337778862885"/>
        </patternFill>
      </fill>
    </dxf>
    <dxf>
      <font>
        <b/>
        <i val="0"/>
        <color theme="0" tint="-4.9989318521683403E-2"/>
      </font>
      <fill>
        <patternFill>
          <bgColor rgb="FFFF0000"/>
        </patternFill>
      </fill>
    </dxf>
    <dxf>
      <font>
        <b/>
        <i val="0"/>
        <color theme="1"/>
      </font>
      <fill>
        <patternFill>
          <bgColor theme="9" tint="0.59996337778862885"/>
        </patternFill>
      </fill>
    </dxf>
    <dxf>
      <fill>
        <patternFill>
          <bgColor theme="0" tint="-0.14996795556505021"/>
        </patternFill>
      </fill>
    </dxf>
  </dxfs>
  <tableStyles count="0" defaultTableStyle="TableStyleMedium2" defaultPivotStyle="PivotStyleLight16"/>
  <colors>
    <mruColors>
      <color rgb="FF2BF53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902805</xdr:colOff>
      <xdr:row>1</xdr:row>
      <xdr:rowOff>61389</xdr:rowOff>
    </xdr:from>
    <xdr:ext cx="1298188" cy="376004"/>
    <xdr:pic>
      <xdr:nvPicPr>
        <xdr:cNvPr id="3" name="그림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96153" y="276737"/>
          <a:ext cx="1298188" cy="376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663438</xdr:colOff>
      <xdr:row>66</xdr:row>
      <xdr:rowOff>773596</xdr:rowOff>
    </xdr:from>
    <xdr:to>
      <xdr:col>6</xdr:col>
      <xdr:colOff>952198</xdr:colOff>
      <xdr:row>66</xdr:row>
      <xdr:rowOff>2420538</xdr:rowOff>
    </xdr:to>
    <xdr:pic>
      <xdr:nvPicPr>
        <xdr:cNvPr id="2" name="그림 1">
          <a:extLst>
            <a:ext uri="{FF2B5EF4-FFF2-40B4-BE49-F238E27FC236}">
              <a16:creationId xmlns:a16="http://schemas.microsoft.com/office/drawing/2014/main" id="{00000000-0008-0000-0000-000002000000}"/>
            </a:ext>
            <a:ext uri="{147F2762-F138-4A5C-976F-8EAC2B608ADB}">
              <a16:predDERef xmlns:a16="http://schemas.microsoft.com/office/drawing/2014/main" pred="{00000000-0008-0000-0000-000003000000}"/>
            </a:ext>
          </a:extLst>
        </xdr:cNvPr>
        <xdr:cNvPicPr>
          <a:picLocks noChangeAspect="1"/>
        </xdr:cNvPicPr>
      </xdr:nvPicPr>
      <xdr:blipFill>
        <a:blip xmlns:r="http://schemas.openxmlformats.org/officeDocument/2006/relationships" r:embed="rId2"/>
        <a:stretch>
          <a:fillRect/>
        </a:stretch>
      </xdr:blipFill>
      <xdr:spPr>
        <a:xfrm>
          <a:off x="6492738" y="56466271"/>
          <a:ext cx="2355685" cy="1646942"/>
        </a:xfrm>
        <a:prstGeom prst="rect">
          <a:avLst/>
        </a:prstGeom>
      </xdr:spPr>
    </xdr:pic>
    <xdr:clientData/>
  </xdr:twoCellAnchor>
  <xdr:twoCellAnchor editAs="oneCell">
    <xdr:from>
      <xdr:col>4</xdr:col>
      <xdr:colOff>561976</xdr:colOff>
      <xdr:row>61</xdr:row>
      <xdr:rowOff>1006475</xdr:rowOff>
    </xdr:from>
    <xdr:to>
      <xdr:col>6</xdr:col>
      <xdr:colOff>1266826</xdr:colOff>
      <xdr:row>61</xdr:row>
      <xdr:rowOff>3256611</xdr:rowOff>
    </xdr:to>
    <xdr:pic>
      <xdr:nvPicPr>
        <xdr:cNvPr id="6" name="그림 5">
          <a:extLst>
            <a:ext uri="{FF2B5EF4-FFF2-40B4-BE49-F238E27FC236}">
              <a16:creationId xmlns:a16="http://schemas.microsoft.com/office/drawing/2014/main" id="{00000000-0008-0000-0000-000006000000}"/>
            </a:ext>
            <a:ext uri="{147F2762-F138-4A5C-976F-8EAC2B608ADB}">
              <a16:predDERef xmlns:a16="http://schemas.microsoft.com/office/drawing/2014/main" pred="{238F6C64-013A-5F1B-E198-98A571A9F9CF}"/>
            </a:ext>
          </a:extLst>
        </xdr:cNvPr>
        <xdr:cNvPicPr>
          <a:picLocks noChangeAspect="1"/>
        </xdr:cNvPicPr>
      </xdr:nvPicPr>
      <xdr:blipFill>
        <a:blip xmlns:r="http://schemas.openxmlformats.org/officeDocument/2006/relationships" r:embed="rId3"/>
        <a:stretch>
          <a:fillRect/>
        </a:stretch>
      </xdr:blipFill>
      <xdr:spPr>
        <a:xfrm>
          <a:off x="6391276" y="54851300"/>
          <a:ext cx="2768600" cy="225013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11572-C03C-431F-B09A-97A47F24C1F2}">
  <dimension ref="B2:N76"/>
  <sheetViews>
    <sheetView showGridLines="0" tabSelected="1" topLeftCell="A67" zoomScale="132" zoomScaleNormal="132" workbookViewId="0">
      <selection activeCell="D73" sqref="D73"/>
    </sheetView>
  </sheetViews>
  <sheetFormatPr baseColWidth="10" defaultColWidth="8.5" defaultRowHeight="17"/>
  <cols>
    <col min="1" max="1" width="3.5" style="2" customWidth="1"/>
    <col min="2" max="2" width="19" style="2" customWidth="1"/>
    <col min="3" max="3" width="22.1640625" style="2" customWidth="1"/>
    <col min="4" max="4" width="31.83203125" style="2" customWidth="1"/>
    <col min="5" max="5" width="14.6640625" style="2" customWidth="1"/>
    <col min="6" max="6" width="12.5" style="2" customWidth="1"/>
    <col min="7" max="7" width="30" style="2" customWidth="1"/>
    <col min="8" max="8" width="13.6640625" style="2" customWidth="1"/>
    <col min="9" max="9" width="13.6640625" style="10" customWidth="1"/>
    <col min="10" max="10" width="37.1640625" style="2" bestFit="1" customWidth="1"/>
    <col min="11" max="11" width="14.5" style="2" bestFit="1" customWidth="1"/>
    <col min="12" max="12" width="15.83203125" style="2" customWidth="1"/>
    <col min="13" max="13" width="28.33203125" style="2" customWidth="1"/>
    <col min="14" max="16384" width="8.5" style="2"/>
  </cols>
  <sheetData>
    <row r="2" spans="2:14" ht="23">
      <c r="B2" s="7" t="s">
        <v>0</v>
      </c>
      <c r="C2" s="7"/>
      <c r="D2" s="1"/>
      <c r="H2" s="15"/>
    </row>
    <row r="3" spans="2:14" ht="15" customHeight="1">
      <c r="B3" s="5"/>
      <c r="C3" s="5"/>
      <c r="D3" s="1"/>
      <c r="F3" s="3"/>
    </row>
    <row r="4" spans="2:14" s="6" customFormat="1" ht="20.5" customHeight="1">
      <c r="B4" s="100" t="s">
        <v>1</v>
      </c>
      <c r="C4" s="100"/>
      <c r="D4" s="100"/>
      <c r="E4" s="75" t="s">
        <v>2</v>
      </c>
      <c r="F4" s="75"/>
      <c r="G4" s="75"/>
      <c r="H4" s="75" t="s">
        <v>3</v>
      </c>
      <c r="I4" s="75"/>
      <c r="J4" s="75"/>
      <c r="K4" s="75"/>
      <c r="L4" s="75"/>
      <c r="M4" s="75"/>
    </row>
    <row r="5" spans="2:14" s="4" customFormat="1" ht="17" customHeight="1">
      <c r="B5" s="41" t="s">
        <v>4</v>
      </c>
      <c r="C5" s="107" t="s">
        <v>5</v>
      </c>
      <c r="D5" s="107"/>
      <c r="E5" s="77" t="s">
        <v>6</v>
      </c>
      <c r="F5" s="78"/>
      <c r="G5" s="79"/>
      <c r="H5" s="13" t="s">
        <v>7</v>
      </c>
      <c r="I5" s="122">
        <f>COUNTIF(H19:H72, "PASS")</f>
        <v>0</v>
      </c>
      <c r="J5" s="122"/>
      <c r="K5" s="13" t="s">
        <v>7</v>
      </c>
      <c r="L5" s="122">
        <f>COUNTIF(K19:K72, "PASS")</f>
        <v>0</v>
      </c>
      <c r="M5" s="122"/>
    </row>
    <row r="6" spans="2:14" s="4" customFormat="1">
      <c r="B6" s="41" t="s">
        <v>8</v>
      </c>
      <c r="C6" s="108" t="s">
        <v>9</v>
      </c>
      <c r="D6" s="108"/>
      <c r="E6" s="80" t="s">
        <v>10</v>
      </c>
      <c r="F6" s="81"/>
      <c r="G6" s="82"/>
      <c r="H6" s="13" t="s">
        <v>11</v>
      </c>
      <c r="I6" s="123">
        <f>COUNTIF(H19:H72, "NG")</f>
        <v>0</v>
      </c>
      <c r="J6" s="123"/>
      <c r="K6" s="13" t="s">
        <v>11</v>
      </c>
      <c r="L6" s="123">
        <f>COUNTIF(K19:K72, "NG")</f>
        <v>0</v>
      </c>
      <c r="M6" s="123"/>
      <c r="N6" s="2"/>
    </row>
    <row r="7" spans="2:14" s="4" customFormat="1">
      <c r="B7" s="41" t="s">
        <v>12</v>
      </c>
      <c r="C7" s="108" t="s">
        <v>13</v>
      </c>
      <c r="D7" s="108"/>
      <c r="E7" s="83" t="s">
        <v>14</v>
      </c>
      <c r="F7" s="84"/>
      <c r="G7" s="85"/>
      <c r="H7" s="13" t="s">
        <v>15</v>
      </c>
      <c r="I7" s="123">
        <f>COUNTIF(H19:H72, "N.A")</f>
        <v>0</v>
      </c>
      <c r="J7" s="123"/>
      <c r="K7" s="13" t="s">
        <v>15</v>
      </c>
      <c r="L7" s="123">
        <f>COUNTIF(K19:K72, "N.A")</f>
        <v>0</v>
      </c>
      <c r="M7" s="123"/>
      <c r="N7" s="2"/>
    </row>
    <row r="8" spans="2:14" s="4" customFormat="1" ht="18" thickBot="1">
      <c r="B8" s="41" t="s">
        <v>16</v>
      </c>
      <c r="C8" s="108"/>
      <c r="D8" s="108"/>
      <c r="E8" s="86" t="s">
        <v>17</v>
      </c>
      <c r="F8" s="87"/>
      <c r="G8" s="88"/>
      <c r="H8" s="14" t="s">
        <v>18</v>
      </c>
      <c r="I8" s="124">
        <f>COUNTIF(H19:H72, "Not yet")</f>
        <v>54</v>
      </c>
      <c r="J8" s="124"/>
      <c r="K8" s="14" t="s">
        <v>18</v>
      </c>
      <c r="L8" s="124">
        <f>COUNTIF(K19:K72, "Not yet")</f>
        <v>54</v>
      </c>
      <c r="M8" s="124"/>
      <c r="N8" s="2"/>
    </row>
    <row r="9" spans="2:14" s="4" customFormat="1">
      <c r="B9" s="41" t="s">
        <v>19</v>
      </c>
      <c r="C9" s="108"/>
      <c r="D9" s="108"/>
      <c r="E9" s="89" t="s">
        <v>20</v>
      </c>
      <c r="F9" s="90"/>
      <c r="G9" s="91"/>
      <c r="H9" s="110" t="s">
        <v>3</v>
      </c>
      <c r="I9" s="113">
        <f>I5/(I5+I6+I8)</f>
        <v>0</v>
      </c>
      <c r="J9" s="114"/>
      <c r="K9" s="119" t="s">
        <v>3</v>
      </c>
      <c r="L9" s="113">
        <f>L5/(L5+L6+L8)</f>
        <v>0</v>
      </c>
      <c r="M9" s="114"/>
      <c r="N9" s="2"/>
    </row>
    <row r="10" spans="2:14" s="4" customFormat="1">
      <c r="B10" s="41" t="s">
        <v>21</v>
      </c>
      <c r="C10" s="108"/>
      <c r="D10" s="108"/>
      <c r="E10" s="40"/>
      <c r="F10" s="40"/>
      <c r="G10" s="40"/>
      <c r="H10" s="111"/>
      <c r="I10" s="115"/>
      <c r="J10" s="116"/>
      <c r="K10" s="120"/>
      <c r="L10" s="115"/>
      <c r="M10" s="116"/>
      <c r="N10" s="2"/>
    </row>
    <row r="11" spans="2:14" s="4" customFormat="1">
      <c r="B11" s="41" t="s">
        <v>22</v>
      </c>
      <c r="C11" s="108"/>
      <c r="D11" s="108"/>
      <c r="E11" s="40"/>
      <c r="F11" s="40"/>
      <c r="G11" s="40"/>
      <c r="H11" s="111"/>
      <c r="I11" s="115"/>
      <c r="J11" s="116"/>
      <c r="K11" s="120"/>
      <c r="L11" s="115"/>
      <c r="M11" s="116"/>
      <c r="N11" s="2"/>
    </row>
    <row r="12" spans="2:14" s="4" customFormat="1">
      <c r="B12" s="41" t="s">
        <v>23</v>
      </c>
      <c r="C12" s="108"/>
      <c r="D12" s="108"/>
      <c r="E12" s="40"/>
      <c r="F12" s="40"/>
      <c r="G12" s="40"/>
      <c r="H12" s="111"/>
      <c r="I12" s="115"/>
      <c r="J12" s="116"/>
      <c r="K12" s="120"/>
      <c r="L12" s="115"/>
      <c r="M12" s="116"/>
      <c r="N12" s="2"/>
    </row>
    <row r="13" spans="2:14" s="4" customFormat="1" ht="18" thickBot="1">
      <c r="B13" s="41" t="s">
        <v>24</v>
      </c>
      <c r="C13" s="109"/>
      <c r="D13" s="108"/>
      <c r="E13" s="40"/>
      <c r="F13" s="40"/>
      <c r="G13" s="40"/>
      <c r="H13" s="112"/>
      <c r="I13" s="117"/>
      <c r="J13" s="118"/>
      <c r="K13" s="121"/>
      <c r="L13" s="117"/>
      <c r="M13" s="118"/>
      <c r="N13" s="2"/>
    </row>
    <row r="14" spans="2:14" s="4" customFormat="1">
      <c r="B14" s="11"/>
      <c r="C14" s="11"/>
      <c r="D14" s="11"/>
      <c r="E14" s="12"/>
      <c r="F14" s="12"/>
      <c r="G14" s="12"/>
      <c r="H14" s="17">
        <v>1</v>
      </c>
      <c r="I14" s="98" t="s">
        <v>7</v>
      </c>
      <c r="J14" s="99"/>
      <c r="K14" s="16" t="s">
        <v>25</v>
      </c>
      <c r="L14" s="98" t="s">
        <v>26</v>
      </c>
      <c r="M14" s="104"/>
      <c r="N14" s="2"/>
    </row>
    <row r="15" spans="2:14" s="4" customFormat="1" ht="18" thickBot="1">
      <c r="B15" s="9" t="s">
        <v>27</v>
      </c>
      <c r="C15" s="9"/>
      <c r="D15" s="6"/>
      <c r="E15" s="9"/>
      <c r="F15" s="8"/>
      <c r="G15" s="8"/>
      <c r="H15" s="18" t="s">
        <v>28</v>
      </c>
      <c r="I15" s="105" t="s">
        <v>29</v>
      </c>
      <c r="J15" s="125"/>
      <c r="K15" s="19" t="s">
        <v>30</v>
      </c>
      <c r="L15" s="105" t="s">
        <v>31</v>
      </c>
      <c r="M15" s="106"/>
      <c r="N15" s="2"/>
    </row>
    <row r="16" spans="2:14" s="4" customFormat="1">
      <c r="B16" s="9" t="s">
        <v>32</v>
      </c>
      <c r="C16" s="9" t="s">
        <v>33</v>
      </c>
      <c r="D16" s="6"/>
      <c r="E16" s="9"/>
      <c r="F16" s="8"/>
      <c r="G16" s="8"/>
      <c r="H16" s="43"/>
      <c r="I16" s="42"/>
      <c r="J16" s="42"/>
      <c r="K16" s="43"/>
      <c r="L16" s="42"/>
      <c r="M16" s="42"/>
      <c r="N16" s="2"/>
    </row>
    <row r="17" spans="2:14" s="4" customFormat="1">
      <c r="B17" s="92" t="s">
        <v>34</v>
      </c>
      <c r="C17" s="92" t="s">
        <v>35</v>
      </c>
      <c r="D17" s="92" t="s">
        <v>36</v>
      </c>
      <c r="E17" s="92" t="s">
        <v>37</v>
      </c>
      <c r="F17" s="92"/>
      <c r="G17" s="92"/>
      <c r="H17" s="93" t="s">
        <v>38</v>
      </c>
      <c r="I17" s="93"/>
      <c r="J17" s="93"/>
      <c r="K17" s="94" t="s">
        <v>39</v>
      </c>
      <c r="L17" s="94"/>
      <c r="M17" s="94"/>
      <c r="N17" s="2"/>
    </row>
    <row r="18" spans="2:14" ht="32">
      <c r="B18" s="92"/>
      <c r="C18" s="92"/>
      <c r="D18" s="92"/>
      <c r="E18" s="92"/>
      <c r="F18" s="92"/>
      <c r="G18" s="92"/>
      <c r="H18" s="20" t="s">
        <v>40</v>
      </c>
      <c r="I18" s="20" t="s">
        <v>41</v>
      </c>
      <c r="J18" s="20" t="s">
        <v>42</v>
      </c>
      <c r="K18" s="20" t="s">
        <v>40</v>
      </c>
      <c r="L18" s="20" t="s">
        <v>41</v>
      </c>
      <c r="M18" s="20" t="s">
        <v>42</v>
      </c>
    </row>
    <row r="19" spans="2:14" ht="76" customHeight="1">
      <c r="B19" s="21" t="s">
        <v>43</v>
      </c>
      <c r="C19" s="22" t="s">
        <v>44</v>
      </c>
      <c r="D19" s="23" t="s">
        <v>45</v>
      </c>
      <c r="E19" s="76" t="s">
        <v>46</v>
      </c>
      <c r="F19" s="95"/>
      <c r="G19" s="95"/>
      <c r="H19" s="24" t="s">
        <v>47</v>
      </c>
      <c r="I19" s="49"/>
      <c r="J19" s="50"/>
      <c r="K19" s="24" t="s">
        <v>47</v>
      </c>
      <c r="L19" s="49"/>
      <c r="M19" s="53"/>
    </row>
    <row r="20" spans="2:14" ht="30" customHeight="1">
      <c r="B20" s="21" t="s">
        <v>48</v>
      </c>
      <c r="C20" s="22" t="s">
        <v>49</v>
      </c>
      <c r="D20" s="23" t="s">
        <v>50</v>
      </c>
      <c r="E20" s="76" t="s">
        <v>205</v>
      </c>
      <c r="F20" s="95"/>
      <c r="G20" s="95"/>
      <c r="H20" s="24" t="s">
        <v>47</v>
      </c>
      <c r="I20" s="49"/>
      <c r="J20" s="50"/>
      <c r="K20" s="24" t="s">
        <v>47</v>
      </c>
      <c r="L20" s="49"/>
      <c r="M20" s="25"/>
    </row>
    <row r="21" spans="2:14" ht="30">
      <c r="B21" s="21" t="s">
        <v>51</v>
      </c>
      <c r="C21" s="22" t="s">
        <v>52</v>
      </c>
      <c r="D21" s="23" t="s">
        <v>53</v>
      </c>
      <c r="E21" s="76" t="s">
        <v>54</v>
      </c>
      <c r="F21" s="76"/>
      <c r="G21" s="76"/>
      <c r="H21" s="24" t="s">
        <v>47</v>
      </c>
      <c r="I21" s="49"/>
      <c r="J21" s="51"/>
      <c r="K21" s="24" t="s">
        <v>47</v>
      </c>
      <c r="L21" s="25"/>
      <c r="M21" s="25"/>
    </row>
    <row r="22" spans="2:14" ht="79" customHeight="1">
      <c r="B22" s="59" t="s">
        <v>55</v>
      </c>
      <c r="C22" s="27" t="s">
        <v>56</v>
      </c>
      <c r="D22" s="28" t="s">
        <v>57</v>
      </c>
      <c r="E22" s="102" t="s">
        <v>58</v>
      </c>
      <c r="F22" s="95"/>
      <c r="G22" s="95"/>
      <c r="H22" s="24" t="s">
        <v>47</v>
      </c>
      <c r="I22" s="49"/>
      <c r="J22" s="25"/>
      <c r="K22" s="24" t="s">
        <v>47</v>
      </c>
      <c r="L22" s="25"/>
      <c r="M22" s="25"/>
    </row>
    <row r="23" spans="2:14" ht="78" customHeight="1">
      <c r="B23" s="59"/>
      <c r="C23" s="27" t="s">
        <v>59</v>
      </c>
      <c r="D23" s="28" t="s">
        <v>60</v>
      </c>
      <c r="E23" s="96" t="s">
        <v>61</v>
      </c>
      <c r="F23" s="97"/>
      <c r="G23" s="97"/>
      <c r="H23" s="24" t="s">
        <v>47</v>
      </c>
      <c r="I23" s="49"/>
      <c r="J23" s="50"/>
      <c r="K23" s="24" t="s">
        <v>47</v>
      </c>
      <c r="L23" s="49"/>
      <c r="M23" s="25"/>
    </row>
    <row r="24" spans="2:14" ht="38" customHeight="1">
      <c r="B24" s="59"/>
      <c r="C24" s="27" t="s">
        <v>62</v>
      </c>
      <c r="D24" s="29" t="s">
        <v>63</v>
      </c>
      <c r="E24" s="76" t="s">
        <v>64</v>
      </c>
      <c r="F24" s="95"/>
      <c r="G24" s="95"/>
      <c r="H24" s="24" t="s">
        <v>47</v>
      </c>
      <c r="I24" s="25"/>
      <c r="J24" s="25"/>
      <c r="K24" s="24" t="s">
        <v>47</v>
      </c>
      <c r="L24" s="25"/>
      <c r="M24" s="25"/>
    </row>
    <row r="25" spans="2:14" ht="38" customHeight="1">
      <c r="B25" s="59"/>
      <c r="C25" s="27" t="s">
        <v>65</v>
      </c>
      <c r="D25" s="29" t="s">
        <v>66</v>
      </c>
      <c r="E25" s="96" t="s">
        <v>67</v>
      </c>
      <c r="F25" s="97"/>
      <c r="G25" s="97"/>
      <c r="H25" s="24" t="s">
        <v>47</v>
      </c>
      <c r="I25" s="25"/>
      <c r="J25" s="25"/>
      <c r="K25" s="24" t="s">
        <v>47</v>
      </c>
      <c r="L25" s="25"/>
      <c r="M25" s="25"/>
    </row>
    <row r="26" spans="2:14" ht="45.5" customHeight="1">
      <c r="B26" s="59"/>
      <c r="C26" s="27" t="s">
        <v>68</v>
      </c>
      <c r="D26" s="29" t="s">
        <v>69</v>
      </c>
      <c r="E26" s="76" t="s">
        <v>206</v>
      </c>
      <c r="F26" s="95"/>
      <c r="G26" s="95"/>
      <c r="H26" s="24" t="s">
        <v>47</v>
      </c>
      <c r="I26" s="25"/>
      <c r="J26" s="25"/>
      <c r="K26" s="24" t="s">
        <v>47</v>
      </c>
      <c r="L26" s="25"/>
      <c r="M26" s="25"/>
    </row>
    <row r="27" spans="2:14" ht="110" customHeight="1">
      <c r="B27" s="59"/>
      <c r="C27" s="27" t="s">
        <v>68</v>
      </c>
      <c r="D27" s="28" t="s">
        <v>70</v>
      </c>
      <c r="E27" s="76" t="s">
        <v>58</v>
      </c>
      <c r="F27" s="95"/>
      <c r="G27" s="95"/>
      <c r="H27" s="24" t="s">
        <v>47</v>
      </c>
      <c r="I27" s="25"/>
      <c r="J27" s="25"/>
      <c r="K27" s="24" t="s">
        <v>47</v>
      </c>
      <c r="L27" s="25"/>
      <c r="M27" s="25"/>
    </row>
    <row r="28" spans="2:14" ht="62.5" customHeight="1">
      <c r="B28" s="59"/>
      <c r="C28" s="27" t="s">
        <v>68</v>
      </c>
      <c r="D28" s="28" t="s">
        <v>71</v>
      </c>
      <c r="E28" s="76" t="s">
        <v>72</v>
      </c>
      <c r="F28" s="95"/>
      <c r="G28" s="95"/>
      <c r="H28" s="24" t="s">
        <v>47</v>
      </c>
      <c r="I28" s="25"/>
      <c r="J28" s="25"/>
      <c r="K28" s="24" t="s">
        <v>47</v>
      </c>
      <c r="L28" s="25"/>
      <c r="M28" s="25"/>
    </row>
    <row r="29" spans="2:14" ht="58.5" customHeight="1">
      <c r="B29" s="59"/>
      <c r="C29" s="27" t="s">
        <v>68</v>
      </c>
      <c r="D29" s="29" t="s">
        <v>73</v>
      </c>
      <c r="E29" s="76" t="s">
        <v>74</v>
      </c>
      <c r="F29" s="95"/>
      <c r="G29" s="95"/>
      <c r="H29" s="24" t="s">
        <v>47</v>
      </c>
      <c r="I29" s="25"/>
      <c r="J29" s="25"/>
      <c r="K29" s="24" t="s">
        <v>47</v>
      </c>
      <c r="L29" s="25"/>
      <c r="M29" s="25"/>
    </row>
    <row r="30" spans="2:14" ht="50" customHeight="1">
      <c r="B30" s="59"/>
      <c r="C30" s="27" t="s">
        <v>75</v>
      </c>
      <c r="D30" s="28" t="s">
        <v>76</v>
      </c>
      <c r="E30" s="76" t="s">
        <v>77</v>
      </c>
      <c r="F30" s="76"/>
      <c r="G30" s="76"/>
      <c r="H30" s="24" t="s">
        <v>47</v>
      </c>
      <c r="I30" s="49"/>
      <c r="J30" s="25"/>
      <c r="K30" s="24" t="s">
        <v>47</v>
      </c>
      <c r="L30" s="49"/>
      <c r="M30" s="44"/>
    </row>
    <row r="31" spans="2:14" ht="80.5" customHeight="1">
      <c r="B31" s="59"/>
      <c r="C31" s="30" t="s">
        <v>78</v>
      </c>
      <c r="D31" s="28" t="s">
        <v>79</v>
      </c>
      <c r="E31" s="76" t="s">
        <v>80</v>
      </c>
      <c r="F31" s="76"/>
      <c r="G31" s="76"/>
      <c r="H31" s="24" t="s">
        <v>47</v>
      </c>
      <c r="I31" s="49"/>
      <c r="J31" s="44"/>
      <c r="K31" s="24" t="s">
        <v>47</v>
      </c>
      <c r="L31" s="49"/>
      <c r="M31" s="54"/>
    </row>
    <row r="32" spans="2:14" ht="74.5" customHeight="1">
      <c r="B32" s="59"/>
      <c r="C32" s="27" t="s">
        <v>68</v>
      </c>
      <c r="D32" s="29" t="s">
        <v>81</v>
      </c>
      <c r="E32" s="76" t="s">
        <v>82</v>
      </c>
      <c r="F32" s="95"/>
      <c r="G32" s="95"/>
      <c r="H32" s="24" t="s">
        <v>47</v>
      </c>
      <c r="I32" s="25"/>
      <c r="J32" s="25"/>
      <c r="K32" s="24" t="s">
        <v>47</v>
      </c>
      <c r="L32" s="25"/>
      <c r="M32" s="25"/>
    </row>
    <row r="33" spans="2:13" ht="30.5" customHeight="1">
      <c r="B33" s="59"/>
      <c r="C33" s="27" t="s">
        <v>68</v>
      </c>
      <c r="D33" s="28" t="s">
        <v>81</v>
      </c>
      <c r="E33" s="76" t="s">
        <v>83</v>
      </c>
      <c r="F33" s="95"/>
      <c r="G33" s="95"/>
      <c r="H33" s="24" t="s">
        <v>47</v>
      </c>
      <c r="I33" s="25"/>
      <c r="J33" s="25"/>
      <c r="K33" s="24" t="s">
        <v>47</v>
      </c>
      <c r="L33" s="25"/>
      <c r="M33" s="25"/>
    </row>
    <row r="34" spans="2:13" ht="87" customHeight="1">
      <c r="B34" s="59"/>
      <c r="C34" s="30" t="s">
        <v>84</v>
      </c>
      <c r="D34" s="28" t="s">
        <v>85</v>
      </c>
      <c r="E34" s="76" t="s">
        <v>86</v>
      </c>
      <c r="F34" s="95"/>
      <c r="G34" s="95"/>
      <c r="H34" s="24" t="s">
        <v>47</v>
      </c>
      <c r="I34" s="49"/>
      <c r="J34" s="50"/>
      <c r="K34" s="24" t="s">
        <v>47</v>
      </c>
      <c r="L34" s="49"/>
      <c r="M34" s="44"/>
    </row>
    <row r="35" spans="2:13" ht="92" customHeight="1">
      <c r="B35" s="59"/>
      <c r="C35" s="30" t="s">
        <v>87</v>
      </c>
      <c r="D35" s="28" t="s">
        <v>88</v>
      </c>
      <c r="E35" s="76" t="s">
        <v>89</v>
      </c>
      <c r="F35" s="95"/>
      <c r="G35" s="95"/>
      <c r="H35" s="24" t="s">
        <v>47</v>
      </c>
      <c r="I35" s="49"/>
      <c r="J35" s="25"/>
      <c r="K35" s="24" t="s">
        <v>47</v>
      </c>
      <c r="L35" s="25"/>
      <c r="M35" s="25"/>
    </row>
    <row r="36" spans="2:13" ht="48" customHeight="1">
      <c r="B36" s="59"/>
      <c r="C36" s="27" t="s">
        <v>90</v>
      </c>
      <c r="D36" s="28" t="s">
        <v>91</v>
      </c>
      <c r="E36" s="101" t="s">
        <v>207</v>
      </c>
      <c r="F36" s="101"/>
      <c r="G36" s="101"/>
      <c r="H36" s="24" t="s">
        <v>47</v>
      </c>
      <c r="I36" s="49"/>
      <c r="J36" s="31"/>
      <c r="K36" s="24" t="s">
        <v>47</v>
      </c>
      <c r="L36" s="49"/>
      <c r="M36" s="56"/>
    </row>
    <row r="37" spans="2:13" ht="168.5" customHeight="1">
      <c r="B37" s="59"/>
      <c r="C37" s="27" t="s">
        <v>92</v>
      </c>
      <c r="D37" s="28" t="s">
        <v>93</v>
      </c>
      <c r="E37" s="66" t="s">
        <v>94</v>
      </c>
      <c r="F37" s="101"/>
      <c r="G37" s="101"/>
      <c r="H37" s="24" t="s">
        <v>47</v>
      </c>
      <c r="I37" s="49"/>
      <c r="J37" s="31"/>
      <c r="K37" s="24" t="s">
        <v>47</v>
      </c>
      <c r="L37" s="32"/>
      <c r="M37" s="32"/>
    </row>
    <row r="38" spans="2:13" ht="108.5" customHeight="1">
      <c r="B38" s="59"/>
      <c r="C38" s="27" t="s">
        <v>95</v>
      </c>
      <c r="D38" s="28" t="s">
        <v>96</v>
      </c>
      <c r="E38" s="66" t="s">
        <v>97</v>
      </c>
      <c r="F38" s="101"/>
      <c r="G38" s="101"/>
      <c r="H38" s="24" t="s">
        <v>47</v>
      </c>
      <c r="I38" s="52"/>
      <c r="J38" s="31"/>
      <c r="K38" s="24" t="s">
        <v>47</v>
      </c>
      <c r="L38" s="32"/>
      <c r="M38" s="32"/>
    </row>
    <row r="39" spans="2:13" ht="32">
      <c r="B39" s="59"/>
      <c r="C39" s="30" t="s">
        <v>98</v>
      </c>
      <c r="D39" s="28" t="s">
        <v>99</v>
      </c>
      <c r="E39" s="67" t="s">
        <v>100</v>
      </c>
      <c r="F39" s="67"/>
      <c r="G39" s="67"/>
      <c r="H39" s="24" t="s">
        <v>47</v>
      </c>
      <c r="I39" s="52"/>
      <c r="J39" s="31"/>
      <c r="K39" s="24" t="s">
        <v>47</v>
      </c>
      <c r="L39" s="32"/>
      <c r="M39" s="32"/>
    </row>
    <row r="40" spans="2:13" ht="204.5" customHeight="1">
      <c r="B40" s="103"/>
      <c r="C40" s="34" t="s">
        <v>101</v>
      </c>
      <c r="D40" s="28" t="s">
        <v>102</v>
      </c>
      <c r="E40" s="76" t="s">
        <v>103</v>
      </c>
      <c r="F40" s="76"/>
      <c r="G40" s="76"/>
      <c r="H40" s="24" t="s">
        <v>47</v>
      </c>
      <c r="I40" s="44"/>
      <c r="J40" s="44"/>
      <c r="K40" s="24" t="s">
        <v>47</v>
      </c>
      <c r="L40" s="49"/>
      <c r="M40" s="50"/>
    </row>
    <row r="41" spans="2:13" ht="116.5" customHeight="1">
      <c r="B41" s="103"/>
      <c r="C41" s="33" t="s">
        <v>104</v>
      </c>
      <c r="D41" s="28" t="s">
        <v>105</v>
      </c>
      <c r="E41" s="76" t="s">
        <v>106</v>
      </c>
      <c r="F41" s="76"/>
      <c r="G41" s="76"/>
      <c r="H41" s="24" t="s">
        <v>47</v>
      </c>
      <c r="I41" s="44"/>
      <c r="J41" s="44"/>
      <c r="K41" s="24" t="s">
        <v>47</v>
      </c>
      <c r="L41" s="49"/>
      <c r="M41" s="50"/>
    </row>
    <row r="42" spans="2:13" ht="177" customHeight="1">
      <c r="B42" s="103"/>
      <c r="C42" s="33" t="s">
        <v>107</v>
      </c>
      <c r="D42" s="28" t="s">
        <v>108</v>
      </c>
      <c r="E42" s="60" t="s">
        <v>109</v>
      </c>
      <c r="F42" s="61"/>
      <c r="G42" s="62"/>
      <c r="H42" s="24" t="s">
        <v>47</v>
      </c>
      <c r="I42" s="44"/>
      <c r="J42" s="44"/>
      <c r="K42" s="24" t="s">
        <v>47</v>
      </c>
      <c r="L42" s="49"/>
      <c r="M42" s="50"/>
    </row>
    <row r="43" spans="2:13" ht="132" customHeight="1">
      <c r="B43" s="103"/>
      <c r="C43" s="33" t="s">
        <v>110</v>
      </c>
      <c r="D43" s="28" t="s">
        <v>111</v>
      </c>
      <c r="E43" s="68" t="s">
        <v>112</v>
      </c>
      <c r="F43" s="73"/>
      <c r="G43" s="74"/>
      <c r="H43" s="24" t="s">
        <v>47</v>
      </c>
      <c r="I43" s="44"/>
      <c r="J43" s="44"/>
      <c r="K43" s="24" t="s">
        <v>47</v>
      </c>
      <c r="L43" s="49"/>
      <c r="M43" s="50"/>
    </row>
    <row r="44" spans="2:13" ht="25.5" customHeight="1">
      <c r="B44" s="103"/>
      <c r="C44" s="33" t="s">
        <v>113</v>
      </c>
      <c r="D44" s="28" t="s">
        <v>114</v>
      </c>
      <c r="E44" s="60" t="s">
        <v>115</v>
      </c>
      <c r="F44" s="61"/>
      <c r="G44" s="62"/>
      <c r="H44" s="24" t="s">
        <v>47</v>
      </c>
      <c r="I44" s="44"/>
      <c r="J44" s="25"/>
      <c r="K44" s="24" t="s">
        <v>47</v>
      </c>
      <c r="L44" s="25"/>
      <c r="M44" s="53"/>
    </row>
    <row r="45" spans="2:13" ht="130" customHeight="1">
      <c r="B45" s="103"/>
      <c r="C45" s="33" t="s">
        <v>116</v>
      </c>
      <c r="D45" s="28" t="s">
        <v>117</v>
      </c>
      <c r="E45" s="126" t="s">
        <v>209</v>
      </c>
      <c r="F45" s="127"/>
      <c r="G45" s="128"/>
      <c r="H45" s="24" t="s">
        <v>47</v>
      </c>
      <c r="I45" s="44"/>
      <c r="J45" s="25"/>
      <c r="K45" s="24" t="s">
        <v>47</v>
      </c>
      <c r="L45" s="25"/>
      <c r="M45" s="53"/>
    </row>
    <row r="46" spans="2:13" ht="132.75" customHeight="1">
      <c r="B46" s="103"/>
      <c r="C46" s="33" t="s">
        <v>113</v>
      </c>
      <c r="D46" s="29" t="s">
        <v>118</v>
      </c>
      <c r="E46" s="76" t="s">
        <v>119</v>
      </c>
      <c r="F46" s="76"/>
      <c r="G46" s="76"/>
      <c r="H46" s="24" t="s">
        <v>47</v>
      </c>
      <c r="I46" s="44"/>
      <c r="J46" s="25"/>
      <c r="K46" s="24" t="s">
        <v>47</v>
      </c>
      <c r="L46" s="49"/>
      <c r="M46" s="53"/>
    </row>
    <row r="47" spans="2:13" ht="114" customHeight="1">
      <c r="B47" s="103"/>
      <c r="C47" s="33" t="s">
        <v>113</v>
      </c>
      <c r="D47" s="28" t="s">
        <v>120</v>
      </c>
      <c r="E47" s="76" t="s">
        <v>208</v>
      </c>
      <c r="F47" s="95"/>
      <c r="G47" s="95"/>
      <c r="H47" s="24" t="s">
        <v>47</v>
      </c>
      <c r="I47" s="44"/>
      <c r="J47" s="55"/>
      <c r="K47" s="24" t="s">
        <v>47</v>
      </c>
      <c r="L47" s="25"/>
      <c r="M47" s="53"/>
    </row>
    <row r="48" spans="2:13" ht="48.5" customHeight="1">
      <c r="B48" s="59" t="s">
        <v>121</v>
      </c>
      <c r="C48" s="35" t="s">
        <v>122</v>
      </c>
      <c r="D48" s="23" t="s">
        <v>123</v>
      </c>
      <c r="E48" s="76" t="s">
        <v>124</v>
      </c>
      <c r="F48" s="76"/>
      <c r="G48" s="76"/>
      <c r="H48" s="24" t="s">
        <v>47</v>
      </c>
      <c r="I48" s="44"/>
      <c r="J48" s="48"/>
      <c r="K48" s="24" t="s">
        <v>47</v>
      </c>
      <c r="L48" s="49"/>
      <c r="M48" s="25"/>
    </row>
    <row r="49" spans="2:13" ht="39" customHeight="1">
      <c r="B49" s="59"/>
      <c r="C49" s="36" t="s">
        <v>125</v>
      </c>
      <c r="D49" s="29" t="s">
        <v>126</v>
      </c>
      <c r="E49" s="76" t="s">
        <v>127</v>
      </c>
      <c r="F49" s="76"/>
      <c r="G49" s="76"/>
      <c r="H49" s="24" t="s">
        <v>47</v>
      </c>
      <c r="I49" s="25"/>
      <c r="J49" s="25"/>
      <c r="K49" s="24" t="s">
        <v>47</v>
      </c>
      <c r="L49" s="25"/>
      <c r="M49" s="25"/>
    </row>
    <row r="50" spans="2:13" ht="109.5" customHeight="1">
      <c r="B50" s="59"/>
      <c r="C50" s="36" t="s">
        <v>125</v>
      </c>
      <c r="D50" s="29" t="s">
        <v>128</v>
      </c>
      <c r="E50" s="76" t="s">
        <v>129</v>
      </c>
      <c r="F50" s="76"/>
      <c r="G50" s="76"/>
      <c r="H50" s="24" t="s">
        <v>47</v>
      </c>
      <c r="I50" s="44"/>
      <c r="J50" s="45"/>
      <c r="K50" s="24" t="s">
        <v>47</v>
      </c>
      <c r="L50" s="49"/>
      <c r="M50" s="25"/>
    </row>
    <row r="51" spans="2:13" ht="41" customHeight="1">
      <c r="B51" s="59"/>
      <c r="C51" s="36" t="s">
        <v>125</v>
      </c>
      <c r="D51" s="28" t="s">
        <v>130</v>
      </c>
      <c r="E51" s="76" t="s">
        <v>131</v>
      </c>
      <c r="F51" s="76"/>
      <c r="G51" s="76"/>
      <c r="H51" s="24" t="s">
        <v>47</v>
      </c>
      <c r="I51" s="44"/>
      <c r="J51" s="48"/>
      <c r="K51" s="24" t="s">
        <v>47</v>
      </c>
      <c r="L51" s="49"/>
      <c r="M51" s="25"/>
    </row>
    <row r="52" spans="2:13" ht="304" customHeight="1">
      <c r="B52" s="59"/>
      <c r="C52" s="35" t="s">
        <v>132</v>
      </c>
      <c r="D52" s="23" t="s">
        <v>133</v>
      </c>
      <c r="E52" s="66" t="s">
        <v>134</v>
      </c>
      <c r="F52" s="66"/>
      <c r="G52" s="66"/>
      <c r="H52" s="24" t="s">
        <v>47</v>
      </c>
      <c r="I52" s="44"/>
      <c r="J52" s="46"/>
      <c r="K52" s="24" t="s">
        <v>47</v>
      </c>
      <c r="L52" s="49"/>
      <c r="M52" s="25"/>
    </row>
    <row r="53" spans="2:13" ht="29" customHeight="1">
      <c r="B53" s="59" t="s">
        <v>135</v>
      </c>
      <c r="C53" s="36" t="s">
        <v>136</v>
      </c>
      <c r="D53" s="28" t="s">
        <v>137</v>
      </c>
      <c r="E53" s="66" t="s">
        <v>138</v>
      </c>
      <c r="F53" s="66"/>
      <c r="G53" s="66"/>
      <c r="H53" s="24" t="s">
        <v>47</v>
      </c>
      <c r="I53" s="44"/>
      <c r="J53" s="46"/>
      <c r="K53" s="24" t="s">
        <v>47</v>
      </c>
      <c r="L53" s="49"/>
      <c r="M53" s="32"/>
    </row>
    <row r="54" spans="2:13" ht="85" customHeight="1">
      <c r="B54" s="59"/>
      <c r="C54" s="36" t="s">
        <v>139</v>
      </c>
      <c r="D54" s="28" t="s">
        <v>140</v>
      </c>
      <c r="E54" s="66" t="s">
        <v>141</v>
      </c>
      <c r="F54" s="66"/>
      <c r="G54" s="66"/>
      <c r="H54" s="24" t="s">
        <v>47</v>
      </c>
      <c r="I54" s="31"/>
      <c r="J54" s="32"/>
      <c r="K54" s="24" t="s">
        <v>47</v>
      </c>
      <c r="L54" s="32"/>
      <c r="M54" s="32"/>
    </row>
    <row r="55" spans="2:13" ht="29" customHeight="1">
      <c r="B55" s="59"/>
      <c r="C55" s="36" t="s">
        <v>142</v>
      </c>
      <c r="D55" s="28" t="s">
        <v>143</v>
      </c>
      <c r="E55" s="66" t="s">
        <v>144</v>
      </c>
      <c r="F55" s="66"/>
      <c r="G55" s="66"/>
      <c r="H55" s="24" t="s">
        <v>47</v>
      </c>
      <c r="I55" s="31"/>
      <c r="J55" s="32"/>
      <c r="K55" s="24" t="s">
        <v>47</v>
      </c>
      <c r="L55" s="32"/>
      <c r="M55" s="32"/>
    </row>
    <row r="56" spans="2:13" ht="17" customHeight="1">
      <c r="B56" s="59"/>
      <c r="C56" s="36" t="s">
        <v>145</v>
      </c>
      <c r="D56" s="28" t="s">
        <v>146</v>
      </c>
      <c r="E56" s="66" t="s">
        <v>147</v>
      </c>
      <c r="F56" s="66"/>
      <c r="G56" s="66"/>
      <c r="H56" s="24" t="s">
        <v>47</v>
      </c>
      <c r="I56" s="31"/>
      <c r="J56" s="32"/>
      <c r="K56" s="24" t="s">
        <v>47</v>
      </c>
      <c r="L56" s="32"/>
      <c r="M56" s="32"/>
    </row>
    <row r="57" spans="2:13" ht="123" customHeight="1">
      <c r="B57" s="59"/>
      <c r="C57" s="37" t="s">
        <v>148</v>
      </c>
      <c r="D57" s="28" t="s">
        <v>149</v>
      </c>
      <c r="E57" s="66" t="s">
        <v>150</v>
      </c>
      <c r="F57" s="66"/>
      <c r="G57" s="66"/>
      <c r="H57" s="24" t="s">
        <v>47</v>
      </c>
      <c r="I57" s="44"/>
      <c r="J57" s="46"/>
      <c r="K57" s="24" t="s">
        <v>47</v>
      </c>
      <c r="L57" s="49"/>
      <c r="M57" s="32"/>
    </row>
    <row r="58" spans="2:13" ht="83.25" customHeight="1">
      <c r="B58" s="59"/>
      <c r="C58" s="37" t="s">
        <v>151</v>
      </c>
      <c r="D58" s="28" t="s">
        <v>152</v>
      </c>
      <c r="E58" s="66" t="s">
        <v>153</v>
      </c>
      <c r="F58" s="66"/>
      <c r="G58" s="66"/>
      <c r="H58" s="24" t="s">
        <v>47</v>
      </c>
      <c r="I58" s="44"/>
      <c r="J58" s="47"/>
      <c r="K58" s="24" t="s">
        <v>47</v>
      </c>
      <c r="L58" s="49"/>
      <c r="M58" s="50"/>
    </row>
    <row r="59" spans="2:13" ht="43.5" customHeight="1">
      <c r="B59" s="59"/>
      <c r="C59" s="37" t="s">
        <v>154</v>
      </c>
      <c r="D59" s="28" t="s">
        <v>155</v>
      </c>
      <c r="E59" s="66" t="s">
        <v>156</v>
      </c>
      <c r="F59" s="66"/>
      <c r="G59" s="66"/>
      <c r="H59" s="24" t="s">
        <v>47</v>
      </c>
      <c r="I59" s="44"/>
      <c r="J59" s="46"/>
      <c r="K59" s="24" t="s">
        <v>47</v>
      </c>
      <c r="L59" s="49"/>
      <c r="M59" s="50"/>
    </row>
    <row r="60" spans="2:13" ht="43.5" customHeight="1">
      <c r="B60" s="59"/>
      <c r="C60" s="37" t="s">
        <v>157</v>
      </c>
      <c r="D60" s="28" t="s">
        <v>158</v>
      </c>
      <c r="E60" s="66" t="s">
        <v>159</v>
      </c>
      <c r="F60" s="66"/>
      <c r="G60" s="66"/>
      <c r="H60" s="24" t="s">
        <v>47</v>
      </c>
      <c r="I60" s="31"/>
      <c r="J60" s="32"/>
      <c r="K60" s="24" t="s">
        <v>47</v>
      </c>
      <c r="L60" s="32"/>
      <c r="M60" s="32"/>
    </row>
    <row r="61" spans="2:13" ht="101.5" customHeight="1">
      <c r="B61" s="59"/>
      <c r="C61" s="37" t="s">
        <v>160</v>
      </c>
      <c r="D61" s="28" t="s">
        <v>161</v>
      </c>
      <c r="E61" s="66" t="s">
        <v>210</v>
      </c>
      <c r="F61" s="66"/>
      <c r="G61" s="66"/>
      <c r="H61" s="24" t="s">
        <v>47</v>
      </c>
      <c r="I61" s="44"/>
      <c r="J61" s="32"/>
      <c r="K61" s="24" t="s">
        <v>47</v>
      </c>
      <c r="L61" s="49"/>
      <c r="M61" s="58"/>
    </row>
    <row r="62" spans="2:13" ht="267" customHeight="1">
      <c r="B62" s="59"/>
      <c r="C62" s="36" t="s">
        <v>162</v>
      </c>
      <c r="D62" s="28" t="s">
        <v>163</v>
      </c>
      <c r="E62" s="68" t="s">
        <v>164</v>
      </c>
      <c r="F62" s="69"/>
      <c r="G62" s="70"/>
      <c r="H62" s="24" t="s">
        <v>47</v>
      </c>
      <c r="I62" s="44"/>
      <c r="J62" s="46"/>
      <c r="K62" s="24" t="s">
        <v>47</v>
      </c>
      <c r="L62" s="49"/>
      <c r="M62" s="25"/>
    </row>
    <row r="63" spans="2:13" ht="48.5" customHeight="1">
      <c r="B63" s="59"/>
      <c r="C63" s="36" t="s">
        <v>165</v>
      </c>
      <c r="D63" s="29" t="s">
        <v>166</v>
      </c>
      <c r="E63" s="60" t="s">
        <v>167</v>
      </c>
      <c r="F63" s="61"/>
      <c r="G63" s="62"/>
      <c r="H63" s="24" t="s">
        <v>47</v>
      </c>
      <c r="I63" s="44"/>
      <c r="J63" s="48"/>
      <c r="K63" s="24" t="s">
        <v>47</v>
      </c>
      <c r="L63" s="49"/>
      <c r="M63" s="25"/>
    </row>
    <row r="64" spans="2:13" ht="48" customHeight="1">
      <c r="B64" s="59"/>
      <c r="C64" s="36" t="s">
        <v>168</v>
      </c>
      <c r="D64" s="29" t="s">
        <v>169</v>
      </c>
      <c r="E64" s="60" t="s">
        <v>170</v>
      </c>
      <c r="F64" s="61"/>
      <c r="G64" s="62"/>
      <c r="H64" s="24" t="s">
        <v>47</v>
      </c>
      <c r="I64" s="25"/>
      <c r="J64" s="25"/>
      <c r="K64" s="24" t="s">
        <v>47</v>
      </c>
      <c r="L64" s="25"/>
      <c r="M64" s="50"/>
    </row>
    <row r="65" spans="2:13" ht="64.5" customHeight="1">
      <c r="B65" s="59"/>
      <c r="C65" s="36" t="s">
        <v>168</v>
      </c>
      <c r="D65" s="29" t="s">
        <v>171</v>
      </c>
      <c r="E65" s="60" t="s">
        <v>172</v>
      </c>
      <c r="F65" s="61"/>
      <c r="G65" s="62"/>
      <c r="H65" s="24" t="s">
        <v>47</v>
      </c>
      <c r="I65" s="25"/>
      <c r="J65" s="25"/>
      <c r="K65" s="24" t="s">
        <v>47</v>
      </c>
      <c r="L65" s="25"/>
      <c r="M65" s="50"/>
    </row>
    <row r="66" spans="2:13" ht="78" customHeight="1">
      <c r="B66" s="59"/>
      <c r="C66" s="36" t="s">
        <v>168</v>
      </c>
      <c r="D66" s="28" t="s">
        <v>173</v>
      </c>
      <c r="E66" s="60" t="s">
        <v>174</v>
      </c>
      <c r="F66" s="61"/>
      <c r="G66" s="62"/>
      <c r="H66" s="24" t="s">
        <v>47</v>
      </c>
      <c r="I66" s="25"/>
      <c r="J66" s="25"/>
      <c r="K66" s="24" t="s">
        <v>47</v>
      </c>
      <c r="L66" s="25"/>
      <c r="M66" s="50"/>
    </row>
    <row r="67" spans="2:13" ht="195.75" customHeight="1">
      <c r="B67" s="59"/>
      <c r="C67" s="35" t="s">
        <v>175</v>
      </c>
      <c r="D67" s="38" t="s">
        <v>176</v>
      </c>
      <c r="E67" s="68" t="s">
        <v>177</v>
      </c>
      <c r="F67" s="69"/>
      <c r="G67" s="70"/>
      <c r="H67" s="24" t="s">
        <v>47</v>
      </c>
      <c r="I67" s="44"/>
      <c r="J67" s="48"/>
      <c r="K67" s="24" t="s">
        <v>47</v>
      </c>
      <c r="L67" s="49"/>
      <c r="M67" s="53"/>
    </row>
    <row r="68" spans="2:13" ht="51.5" customHeight="1">
      <c r="B68" s="59"/>
      <c r="C68" s="35" t="s">
        <v>178</v>
      </c>
      <c r="D68" s="38" t="s">
        <v>179</v>
      </c>
      <c r="E68" s="60" t="s">
        <v>180</v>
      </c>
      <c r="F68" s="61"/>
      <c r="G68" s="62"/>
      <c r="H68" s="24" t="s">
        <v>47</v>
      </c>
      <c r="I68" s="25"/>
      <c r="J68" s="25"/>
      <c r="K68" s="24" t="s">
        <v>47</v>
      </c>
      <c r="L68" s="25"/>
      <c r="M68" s="25"/>
    </row>
    <row r="69" spans="2:13" ht="81" customHeight="1">
      <c r="B69" s="59"/>
      <c r="C69" s="36" t="s">
        <v>162</v>
      </c>
      <c r="D69" s="28" t="s">
        <v>181</v>
      </c>
      <c r="E69" s="60" t="s">
        <v>182</v>
      </c>
      <c r="F69" s="71"/>
      <c r="G69" s="72"/>
      <c r="H69" s="24" t="s">
        <v>47</v>
      </c>
      <c r="I69" s="44"/>
      <c r="J69" s="46"/>
      <c r="K69" s="24" t="s">
        <v>47</v>
      </c>
      <c r="L69" s="49"/>
      <c r="M69" s="57"/>
    </row>
    <row r="70" spans="2:13" ht="118" customHeight="1">
      <c r="B70" s="59"/>
      <c r="C70" s="37" t="s">
        <v>183</v>
      </c>
      <c r="D70" s="28" t="s">
        <v>184</v>
      </c>
      <c r="E70" s="60" t="s">
        <v>185</v>
      </c>
      <c r="F70" s="61"/>
      <c r="G70" s="62"/>
      <c r="H70" s="24" t="s">
        <v>47</v>
      </c>
      <c r="I70" s="44"/>
      <c r="J70" s="46"/>
      <c r="K70" s="24" t="s">
        <v>47</v>
      </c>
      <c r="L70" s="49"/>
      <c r="M70" s="25"/>
    </row>
    <row r="71" spans="2:13" ht="59" customHeight="1">
      <c r="B71" s="59"/>
      <c r="C71" s="36" t="s">
        <v>186</v>
      </c>
      <c r="D71" s="29" t="s">
        <v>187</v>
      </c>
      <c r="E71" s="60" t="s">
        <v>188</v>
      </c>
      <c r="F71" s="71"/>
      <c r="G71" s="72"/>
      <c r="H71" s="24" t="s">
        <v>47</v>
      </c>
      <c r="I71" s="44"/>
      <c r="J71" s="48"/>
      <c r="K71" s="24" t="s">
        <v>47</v>
      </c>
      <c r="L71" s="49"/>
      <c r="M71" s="25"/>
    </row>
    <row r="72" spans="2:13" ht="41" customHeight="1">
      <c r="B72" s="59"/>
      <c r="C72" s="37" t="s">
        <v>189</v>
      </c>
      <c r="D72" s="28" t="s">
        <v>190</v>
      </c>
      <c r="E72" s="68" t="s">
        <v>211</v>
      </c>
      <c r="F72" s="69"/>
      <c r="G72" s="70"/>
      <c r="H72" s="24" t="s">
        <v>47</v>
      </c>
      <c r="I72" s="44"/>
      <c r="J72" s="55"/>
      <c r="K72" s="24" t="s">
        <v>47</v>
      </c>
      <c r="L72" s="49"/>
      <c r="M72" s="54"/>
    </row>
    <row r="73" spans="2:13" ht="92" customHeight="1">
      <c r="B73" s="26" t="s">
        <v>191</v>
      </c>
      <c r="C73" s="39" t="s">
        <v>192</v>
      </c>
      <c r="D73" s="28" t="s">
        <v>193</v>
      </c>
      <c r="E73" s="63" t="s">
        <v>194</v>
      </c>
      <c r="F73" s="64"/>
      <c r="G73" s="65"/>
      <c r="H73" s="24" t="s">
        <v>47</v>
      </c>
      <c r="I73" s="44"/>
      <c r="J73" s="32"/>
      <c r="K73" s="24" t="s">
        <v>47</v>
      </c>
      <c r="L73" s="49"/>
      <c r="M73" s="54"/>
    </row>
    <row r="74" spans="2:13" ht="32">
      <c r="B74" s="59" t="s">
        <v>195</v>
      </c>
      <c r="C74" s="22" t="s">
        <v>196</v>
      </c>
      <c r="D74" s="28" t="s">
        <v>197</v>
      </c>
      <c r="E74" s="63" t="s">
        <v>198</v>
      </c>
      <c r="F74" s="64"/>
      <c r="G74" s="65"/>
      <c r="H74" s="24" t="s">
        <v>47</v>
      </c>
      <c r="I74" s="31"/>
      <c r="J74" s="32"/>
      <c r="K74" s="24" t="s">
        <v>47</v>
      </c>
      <c r="L74" s="32"/>
      <c r="M74" s="32"/>
    </row>
    <row r="75" spans="2:13" ht="30">
      <c r="B75" s="59"/>
      <c r="C75" s="39" t="s">
        <v>199</v>
      </c>
      <c r="D75" s="28" t="s">
        <v>200</v>
      </c>
      <c r="E75" s="66" t="s">
        <v>201</v>
      </c>
      <c r="F75" s="67"/>
      <c r="G75" s="67"/>
      <c r="H75" s="24" t="s">
        <v>47</v>
      </c>
      <c r="I75" s="31"/>
      <c r="J75" s="32"/>
      <c r="K75" s="24" t="s">
        <v>47</v>
      </c>
      <c r="L75" s="32"/>
      <c r="M75" s="32"/>
    </row>
    <row r="76" spans="2:13" ht="58" customHeight="1">
      <c r="B76" s="59"/>
      <c r="C76" s="39" t="s">
        <v>202</v>
      </c>
      <c r="D76" s="28" t="s">
        <v>203</v>
      </c>
      <c r="E76" s="66" t="s">
        <v>204</v>
      </c>
      <c r="F76" s="67"/>
      <c r="G76" s="67"/>
      <c r="H76" s="24" t="s">
        <v>47</v>
      </c>
      <c r="I76" s="31"/>
      <c r="J76" s="32"/>
      <c r="K76" s="24" t="s">
        <v>47</v>
      </c>
      <c r="L76" s="32"/>
      <c r="M76" s="32"/>
    </row>
  </sheetData>
  <mergeCells count="102">
    <mergeCell ref="E19:G19"/>
    <mergeCell ref="E52:G52"/>
    <mergeCell ref="E44:G44"/>
    <mergeCell ref="C8:D8"/>
    <mergeCell ref="C17:C18"/>
    <mergeCell ref="E50:G50"/>
    <mergeCell ref="E47:G47"/>
    <mergeCell ref="E33:G33"/>
    <mergeCell ref="E45:G45"/>
    <mergeCell ref="E43:G43"/>
    <mergeCell ref="B48:B52"/>
    <mergeCell ref="B40:B47"/>
    <mergeCell ref="L14:M14"/>
    <mergeCell ref="L15:M15"/>
    <mergeCell ref="C5:D5"/>
    <mergeCell ref="C6:D6"/>
    <mergeCell ref="C9:D9"/>
    <mergeCell ref="C10:D10"/>
    <mergeCell ref="C11:D11"/>
    <mergeCell ref="C12:D12"/>
    <mergeCell ref="C13:D13"/>
    <mergeCell ref="H9:H13"/>
    <mergeCell ref="I9:J13"/>
    <mergeCell ref="K9:K13"/>
    <mergeCell ref="L9:M13"/>
    <mergeCell ref="L5:M5"/>
    <mergeCell ref="L6:M6"/>
    <mergeCell ref="I6:J6"/>
    <mergeCell ref="I7:J7"/>
    <mergeCell ref="I8:J8"/>
    <mergeCell ref="L7:M7"/>
    <mergeCell ref="L8:M8"/>
    <mergeCell ref="I5:J5"/>
    <mergeCell ref="I15:J15"/>
    <mergeCell ref="B4:D4"/>
    <mergeCell ref="B17:B18"/>
    <mergeCell ref="D17:D18"/>
    <mergeCell ref="E4:G4"/>
    <mergeCell ref="E30:G30"/>
    <mergeCell ref="E31:G31"/>
    <mergeCell ref="E46:G46"/>
    <mergeCell ref="E40:G40"/>
    <mergeCell ref="B22:B39"/>
    <mergeCell ref="E38:G38"/>
    <mergeCell ref="E35:G35"/>
    <mergeCell ref="E36:G36"/>
    <mergeCell ref="E39:G39"/>
    <mergeCell ref="E37:G37"/>
    <mergeCell ref="E32:G32"/>
    <mergeCell ref="E34:G34"/>
    <mergeCell ref="E29:G29"/>
    <mergeCell ref="E28:G28"/>
    <mergeCell ref="E22:G22"/>
    <mergeCell ref="E24:G24"/>
    <mergeCell ref="E27:G27"/>
    <mergeCell ref="E25:G25"/>
    <mergeCell ref="C7:D7"/>
    <mergeCell ref="H4:M4"/>
    <mergeCell ref="E49:G49"/>
    <mergeCell ref="E70:G70"/>
    <mergeCell ref="E42:G42"/>
    <mergeCell ref="E5:G5"/>
    <mergeCell ref="E6:G6"/>
    <mergeCell ref="E7:G7"/>
    <mergeCell ref="E8:G8"/>
    <mergeCell ref="E9:G9"/>
    <mergeCell ref="E17:G18"/>
    <mergeCell ref="H17:J17"/>
    <mergeCell ref="K17:M17"/>
    <mergeCell ref="E20:G20"/>
    <mergeCell ref="E21:G21"/>
    <mergeCell ref="E41:G41"/>
    <mergeCell ref="E48:G48"/>
    <mergeCell ref="E68:G68"/>
    <mergeCell ref="E26:G26"/>
    <mergeCell ref="E51:G51"/>
    <mergeCell ref="E62:G62"/>
    <mergeCell ref="E23:G23"/>
    <mergeCell ref="E69:G69"/>
    <mergeCell ref="I14:J14"/>
    <mergeCell ref="B74:B76"/>
    <mergeCell ref="E64:G64"/>
    <mergeCell ref="E66:G66"/>
    <mergeCell ref="E65:G65"/>
    <mergeCell ref="E63:G63"/>
    <mergeCell ref="B53:B72"/>
    <mergeCell ref="E73:G73"/>
    <mergeCell ref="E74:G74"/>
    <mergeCell ref="E75:G75"/>
    <mergeCell ref="E76:G76"/>
    <mergeCell ref="E57:G57"/>
    <mergeCell ref="E58:G58"/>
    <mergeCell ref="E59:G59"/>
    <mergeCell ref="E60:G60"/>
    <mergeCell ref="E61:G61"/>
    <mergeCell ref="E53:G53"/>
    <mergeCell ref="E54:G54"/>
    <mergeCell ref="E55:G55"/>
    <mergeCell ref="E56:G56"/>
    <mergeCell ref="E72:G72"/>
    <mergeCell ref="E71:G71"/>
    <mergeCell ref="E67:G67"/>
  </mergeCells>
  <phoneticPr fontId="1" type="noConversion"/>
  <conditionalFormatting sqref="H19:H76 K19:K76">
    <cfRule type="cellIs" dxfId="3" priority="1" operator="equal">
      <formula>"N.A"</formula>
    </cfRule>
    <cfRule type="cellIs" dxfId="2" priority="2" operator="equal">
      <formula>"Not yet"</formula>
    </cfRule>
    <cfRule type="cellIs" dxfId="1" priority="3" operator="equal">
      <formula>"NG"</formula>
    </cfRule>
    <cfRule type="cellIs" dxfId="0" priority="4" operator="equal">
      <formula>"PASS"</formula>
    </cfRule>
  </conditionalFormatting>
  <dataValidations count="1">
    <dataValidation type="list" allowBlank="1" showInputMessage="1" showErrorMessage="1" sqref="K19:K76 H19:H76" xr:uid="{2AD2C7E7-B128-487F-A8C2-780457FB038C}">
      <formula1>"PASS,NG,N.A,Not yet,Defer"</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E3311048843E854E807D49DB33CE1450" ma:contentTypeVersion="3" ma:contentTypeDescription="새 문서를 만듭니다." ma:contentTypeScope="" ma:versionID="f14382ef50a697d91a0276eb9797d1d9">
  <xsd:schema xmlns:xsd="http://www.w3.org/2001/XMLSchema" xmlns:xs="http://www.w3.org/2001/XMLSchema" xmlns:p="http://schemas.microsoft.com/office/2006/metadata/properties" xmlns:ns2="4d10594e-7e37-4288-bf97-cc36ee03b62f" targetNamespace="http://schemas.microsoft.com/office/2006/metadata/properties" ma:root="true" ma:fieldsID="44be9d934ed0d3d1c0c069838dfcaa09" ns2:_="">
    <xsd:import namespace="4d10594e-7e37-4288-bf97-cc36ee03b62f"/>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10594e-7e37-4288-bf97-cc36ee03b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57EA29-D5BB-4F2B-A6A3-0F267064F0ED}">
  <ds:schemaRefs>
    <ds:schemaRef ds:uri="http://schemas.microsoft.com/sharepoint/v3/contenttype/forms"/>
  </ds:schemaRefs>
</ds:datastoreItem>
</file>

<file path=customXml/itemProps2.xml><?xml version="1.0" encoding="utf-8"?>
<ds:datastoreItem xmlns:ds="http://schemas.openxmlformats.org/officeDocument/2006/customXml" ds:itemID="{BB0FD283-A433-4C02-80BC-A8EB470CCDC1}">
  <ds:schemaRefs>
    <ds:schemaRef ds:uri="http://purl.org/dc/dcmitype/"/>
    <ds:schemaRef ds:uri="4d10594e-7e37-4288-bf97-cc36ee03b62f"/>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6969A2C2-E6CB-4948-B994-F15F582E1F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10594e-7e37-4288-bf97-cc36ee03b6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IR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 동남</dc:creator>
  <cp:keywords/>
  <dc:description/>
  <cp:lastModifiedBy>Bongjoon Lee</cp:lastModifiedBy>
  <cp:revision/>
  <dcterms:created xsi:type="dcterms:W3CDTF">2022-10-13T00:27:07Z</dcterms:created>
  <dcterms:modified xsi:type="dcterms:W3CDTF">2023-11-03T12:16:38Z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0x0101006724DC53A21B4E49B615E0D3F1B7F6F9</vt:lpwstr>
  </property>
  <property fmtid="{D5CDD505-2E9C-101B-9397-08002B2CF9AE}" pid="3" name="MediaServiceImageTags">
    <vt:lpwstr/>
  </property>
</Properties>
</file>