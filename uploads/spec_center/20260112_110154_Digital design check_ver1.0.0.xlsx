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66925"/>
  <mc:AlternateContent xmlns:mc="http://schemas.openxmlformats.org/markup-compatibility/2006">
    <mc:Choice Requires="x15">
      <x15ac:absPath xmlns:x15ac="http://schemas.microsoft.com/office/spreadsheetml/2010/11/ac" url="https://ramschip.sharepoint.com/sites/msteams_4b4ded/Shared Documents/General/APQP/ZECH/"/>
    </mc:Choice>
  </mc:AlternateContent>
  <xr:revisionPtr revIDLastSave="544" documentId="13_ncr:1_{92679FD0-FB28-402D-9B4C-9B5A2B9E1E08}" xr6:coauthVersionLast="47" xr6:coauthVersionMax="47" xr10:uidLastSave="{371249D0-CEAC-47ED-A826-15A8ABA894C4}"/>
  <bookViews>
    <workbookView xWindow="28680" yWindow="-120" windowWidth="51840" windowHeight="21120" firstSheet="3" activeTab="3" xr2:uid="{D9A89907-BF0E-134F-A558-89CB36335685}"/>
  </bookViews>
  <sheets>
    <sheet name="0.Revision history" sheetId="6" r:id="rId1"/>
    <sheet name="1 Design flow" sheetId="13" r:id="rId2"/>
    <sheet name="2 Changing" sheetId="14" r:id="rId3"/>
    <sheet name="3 IP Design checklist"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7" l="1"/>
  <c r="K7" i="7" l="1"/>
  <c r="K3" i="7" l="1"/>
  <c r="K8" i="7"/>
  <c r="K6" i="7"/>
  <c r="K5" i="7"/>
  <c r="K9" i="7" l="1"/>
  <c r="L7" i="7"/>
  <c r="L6" i="7"/>
  <c r="L5" i="7"/>
  <c r="L9" i="7"/>
  <c r="L3" i="7"/>
  <c r="L4" i="7"/>
  <c r="L8" i="7"/>
</calcChain>
</file>

<file path=xl/sharedStrings.xml><?xml version="1.0" encoding="utf-8"?>
<sst xmlns="http://schemas.openxmlformats.org/spreadsheetml/2006/main" count="721" uniqueCount="524">
  <si>
    <t>0.  Revision history</t>
    <phoneticPr fontId="2" type="noConversion"/>
  </si>
  <si>
    <t>date</t>
    <phoneticPr fontId="3" type="noConversion"/>
  </si>
  <si>
    <t>Ver.</t>
    <phoneticPr fontId="2" type="noConversion"/>
  </si>
  <si>
    <t>Modified by</t>
    <phoneticPr fontId="3" type="noConversion"/>
  </si>
  <si>
    <t>Modified Tap</t>
    <phoneticPr fontId="2" type="noConversion"/>
  </si>
  <si>
    <t>modification item</t>
    <phoneticPr fontId="3" type="noConversion"/>
  </si>
  <si>
    <t>1.0.0</t>
    <phoneticPr fontId="2" type="noConversion"/>
  </si>
  <si>
    <t>DN Kim</t>
    <phoneticPr fontId="2" type="noConversion"/>
  </si>
  <si>
    <t>ALL TAP</t>
    <phoneticPr fontId="2" type="noConversion"/>
  </si>
  <si>
    <t>New (Prepared based on Samsung foundy's ZECH") _Digital</t>
    <phoneticPr fontId="2" type="noConversion"/>
  </si>
  <si>
    <t>1  IP Design flow</t>
    <phoneticPr fontId="2" type="noConversion"/>
  </si>
  <si>
    <t>integration flow</t>
    <phoneticPr fontId="2" type="noConversion"/>
  </si>
  <si>
    <t>sign-off check (mandatory)</t>
    <phoneticPr fontId="2" type="noConversion"/>
  </si>
  <si>
    <t>sign-off check (optional)</t>
    <phoneticPr fontId="2" type="noConversion"/>
  </si>
  <si>
    <t>design review</t>
    <phoneticPr fontId="2" type="noConversion"/>
  </si>
  <si>
    <t>Design Stage</t>
    <phoneticPr fontId="2" type="noConversion"/>
  </si>
  <si>
    <t>What</t>
    <phoneticPr fontId="2" type="noConversion"/>
  </si>
  <si>
    <t>How (Tool or Script)</t>
    <phoneticPr fontId="2" type="noConversion"/>
  </si>
  <si>
    <t>Output</t>
    <phoneticPr fontId="2" type="noConversion"/>
  </si>
  <si>
    <t>Who</t>
    <phoneticPr fontId="2" type="noConversion"/>
  </si>
  <si>
    <t>1st S/O</t>
    <phoneticPr fontId="2" type="noConversion"/>
  </si>
  <si>
    <t>Design Requirement &amp; Specification</t>
    <phoneticPr fontId="2" type="noConversion"/>
  </si>
  <si>
    <t>Design requirement acceptance</t>
    <phoneticPr fontId="2" type="noConversion"/>
  </si>
  <si>
    <t>Document template</t>
    <phoneticPr fontId="2" type="noConversion"/>
  </si>
  <si>
    <t>Design SOR</t>
    <phoneticPr fontId="2" type="noConversion"/>
  </si>
  <si>
    <t>Analog design</t>
    <phoneticPr fontId="2" type="noConversion"/>
  </si>
  <si>
    <t>Design specification signed-off by all parties</t>
    <phoneticPr fontId="2" type="noConversion"/>
  </si>
  <si>
    <t>Design information</t>
    <phoneticPr fontId="2" type="noConversion"/>
  </si>
  <si>
    <t>Digital/Analog</t>
    <phoneticPr fontId="2" type="noConversion"/>
  </si>
  <si>
    <t>Production/bench test requirements (Functional &amp; Scan)</t>
    <phoneticPr fontId="2" type="noConversion"/>
  </si>
  <si>
    <t>Design note</t>
    <phoneticPr fontId="2" type="noConversion"/>
  </si>
  <si>
    <t>Digital design</t>
    <phoneticPr fontId="2" type="noConversion"/>
  </si>
  <si>
    <t>Interface specification and requirements</t>
    <phoneticPr fontId="2" type="noConversion"/>
  </si>
  <si>
    <t>Architecture and block partitioning</t>
    <phoneticPr fontId="2" type="noConversion"/>
  </si>
  <si>
    <t>Block diagram, specification and functional description</t>
    <phoneticPr fontId="2" type="noConversion"/>
  </si>
  <si>
    <t>I/O and SFR list</t>
    <phoneticPr fontId="2" type="noConversion"/>
  </si>
  <si>
    <t>Initialization sequence</t>
    <phoneticPr fontId="2" type="noConversion"/>
  </si>
  <si>
    <t>Analog</t>
    <phoneticPr fontId="2" type="noConversion"/>
  </si>
  <si>
    <t>Power-down mode sequence</t>
    <phoneticPr fontId="2" type="noConversion"/>
  </si>
  <si>
    <t>Clock/reset domain list &amp; diagram</t>
    <phoneticPr fontId="2" type="noConversion"/>
  </si>
  <si>
    <t>Simulation plan completed</t>
    <phoneticPr fontId="2" type="noConversion"/>
  </si>
  <si>
    <r>
      <rPr>
        <sz val="11"/>
        <color theme="1"/>
        <rFont val="맑은 고딕"/>
        <family val="3"/>
        <charset val="129"/>
      </rPr>
      <t>▼</t>
    </r>
    <phoneticPr fontId="2" type="noConversion"/>
  </si>
  <si>
    <t>RTL Design</t>
    <phoneticPr fontId="2" type="noConversion"/>
  </si>
  <si>
    <t>Testable RTL design completed</t>
    <phoneticPr fontId="2" type="noConversion"/>
  </si>
  <si>
    <t>Verilog</t>
    <phoneticPr fontId="2" type="noConversion"/>
  </si>
  <si>
    <t>RTL</t>
    <phoneticPr fontId="2" type="noConversion"/>
  </si>
  <si>
    <t>Detailed design documentation completed</t>
    <phoneticPr fontId="2" type="noConversion"/>
  </si>
  <si>
    <t>MAKE_PHYD</t>
    <phoneticPr fontId="2" type="noConversion"/>
  </si>
  <si>
    <t>Design note (doc/ppt)</t>
    <phoneticPr fontId="2" type="noConversion"/>
  </si>
  <si>
    <t xml:space="preserve">SOR(Statement of Requirement) </t>
    <phoneticPr fontId="2" type="noConversion"/>
  </si>
  <si>
    <t>Verification SOR</t>
    <phoneticPr fontId="2" type="noConversion"/>
  </si>
  <si>
    <t>PMA top verilog model</t>
    <phoneticPr fontId="2" type="noConversion"/>
  </si>
  <si>
    <t>DFT</t>
    <phoneticPr fontId="2" type="noConversion"/>
  </si>
  <si>
    <t>DFT rule checked and fault coverage estimation</t>
    <phoneticPr fontId="2" type="noConversion"/>
  </si>
  <si>
    <t>SpyGlass-DFT</t>
    <phoneticPr fontId="2" type="noConversion"/>
  </si>
  <si>
    <t>log file</t>
    <phoneticPr fontId="2" type="noConversion"/>
  </si>
  <si>
    <t>report file</t>
    <phoneticPr fontId="2" type="noConversion"/>
  </si>
  <si>
    <t>Lint</t>
    <phoneticPr fontId="2" type="noConversion"/>
  </si>
  <si>
    <t>HDL syntax and structure issues checked by SEC RTL coding rule</t>
    <phoneticPr fontId="2" type="noConversion"/>
  </si>
  <si>
    <t>SpyGlass-Lint</t>
    <phoneticPr fontId="2" type="noConversion"/>
  </si>
  <si>
    <t>waiver file (optional)</t>
    <phoneticPr fontId="2" type="noConversion"/>
  </si>
  <si>
    <t>CDC</t>
    <phoneticPr fontId="2" type="noConversion"/>
  </si>
  <si>
    <t>Clock domain crossing checked</t>
    <phoneticPr fontId="2" type="noConversion"/>
  </si>
  <si>
    <t>Meridian-CDC</t>
    <phoneticPr fontId="2" type="noConversion"/>
  </si>
  <si>
    <t>Waive list confirmed for CDC warnings</t>
    <phoneticPr fontId="2" type="noConversion"/>
  </si>
  <si>
    <t>Logic block diagram and waive reason is described for all waive points</t>
    <phoneticPr fontId="2" type="noConversion"/>
  </si>
  <si>
    <t>waiver review doc.</t>
    <phoneticPr fontId="2" type="noConversion"/>
  </si>
  <si>
    <t>Function Simulation &amp; Verification</t>
    <phoneticPr fontId="2" type="noConversion"/>
  </si>
  <si>
    <t>Functional simulation completed</t>
    <phoneticPr fontId="2" type="noConversion"/>
  </si>
  <si>
    <t>Functional simulation lists &amp; results</t>
    <phoneticPr fontId="2" type="noConversion"/>
  </si>
  <si>
    <t>Test mode simulation completed</t>
    <phoneticPr fontId="2" type="noConversion"/>
  </si>
  <si>
    <t>X-model</t>
    <phoneticPr fontId="2" type="noConversion"/>
  </si>
  <si>
    <t>Test mode simulation lists &amp; results</t>
    <phoneticPr fontId="2" type="noConversion"/>
  </si>
  <si>
    <t>X-model simulation completed</t>
    <phoneticPr fontId="2" type="noConversion"/>
  </si>
  <si>
    <t>UVM</t>
    <phoneticPr fontId="2" type="noConversion"/>
  </si>
  <si>
    <t>X-model simulation lists &amp; results</t>
    <phoneticPr fontId="2" type="noConversion"/>
  </si>
  <si>
    <t>100% code coverage for PMA digital</t>
    <phoneticPr fontId="2" type="noConversion"/>
  </si>
  <si>
    <t>VerDict for PMA digital, not PCS</t>
    <phoneticPr fontId="2" type="noConversion"/>
  </si>
  <si>
    <t>Design verification</t>
    <phoneticPr fontId="2" type="noConversion"/>
  </si>
  <si>
    <t>Full stack beta-DV completed</t>
    <phoneticPr fontId="2" type="noConversion"/>
  </si>
  <si>
    <t>VerDict for PCS</t>
    <phoneticPr fontId="2" type="noConversion"/>
  </si>
  <si>
    <t>Architecture &amp; RTL Design Review(DR1)</t>
    <phoneticPr fontId="2" type="noConversion"/>
  </si>
  <si>
    <t>D-ZECH and Design note reviewed</t>
    <phoneticPr fontId="2" type="noConversion"/>
  </si>
  <si>
    <t>DR</t>
    <phoneticPr fontId="2" type="noConversion"/>
  </si>
  <si>
    <t>D-ZECH</t>
    <phoneticPr fontId="2" type="noConversion"/>
  </si>
  <si>
    <t>All simulation results reviewed</t>
    <phoneticPr fontId="2" type="noConversion"/>
  </si>
  <si>
    <t>Action item list</t>
    <phoneticPr fontId="2" type="noConversion"/>
  </si>
  <si>
    <t>SOR and results reviewed</t>
    <phoneticPr fontId="2" type="noConversion"/>
  </si>
  <si>
    <t>VerDict reviewed</t>
    <phoneticPr fontId="2" type="noConversion"/>
  </si>
  <si>
    <t>Logic Synthesis</t>
    <phoneticPr fontId="2" type="noConversion"/>
  </si>
  <si>
    <t>SDC clean-up</t>
    <phoneticPr fontId="2" type="noConversion"/>
  </si>
  <si>
    <t>GCA</t>
    <phoneticPr fontId="2" type="noConversion"/>
  </si>
  <si>
    <t>report files</t>
    <phoneticPr fontId="2" type="noConversion"/>
  </si>
  <si>
    <t>Logic synthesis completed</t>
    <phoneticPr fontId="2" type="noConversion"/>
  </si>
  <si>
    <t>Design Compiler</t>
    <phoneticPr fontId="2" type="noConversion"/>
  </si>
  <si>
    <t>check_design file</t>
    <phoneticPr fontId="2" type="noConversion"/>
  </si>
  <si>
    <t>report files (timing, area …)</t>
    <phoneticPr fontId="2" type="noConversion"/>
  </si>
  <si>
    <t>scan-ready netlist</t>
    <phoneticPr fontId="2" type="noConversion"/>
  </si>
  <si>
    <t>DFT Insertion</t>
    <phoneticPr fontId="2" type="noConversion"/>
  </si>
  <si>
    <t>Full scan design implementation completed</t>
    <phoneticPr fontId="2" type="noConversion"/>
  </si>
  <si>
    <t>DFT Compiler</t>
    <phoneticPr fontId="2" type="noConversion"/>
  </si>
  <si>
    <t>- including core_wrapper</t>
    <phoneticPr fontId="2" type="noConversion"/>
  </si>
  <si>
    <t>report files (drc, scan path …)</t>
    <phoneticPr fontId="2" type="noConversion"/>
  </si>
  <si>
    <t>scan netlist</t>
    <phoneticPr fontId="2" type="noConversion"/>
  </si>
  <si>
    <t>ATPG</t>
    <phoneticPr fontId="2" type="noConversion"/>
  </si>
  <si>
    <t>ATPG(Stuck-at) completed and patterns verified</t>
    <phoneticPr fontId="2" type="noConversion"/>
  </si>
  <si>
    <t>TetraMAX</t>
    <phoneticPr fontId="2" type="noConversion"/>
  </si>
  <si>
    <t>report files (faults …)</t>
    <phoneticPr fontId="2" type="noConversion"/>
  </si>
  <si>
    <t>ATPG vectors</t>
    <phoneticPr fontId="2" type="noConversion"/>
  </si>
  <si>
    <t>Equivalence Check (R2N)</t>
    <phoneticPr fontId="2" type="noConversion"/>
  </si>
  <si>
    <t xml:space="preserve">Functional equivalence(function mode) of two designs(R2N*) proven </t>
    <phoneticPr fontId="2" type="noConversion"/>
  </si>
  <si>
    <t>Formality</t>
    <phoneticPr fontId="2" type="noConversion"/>
  </si>
  <si>
    <t>* R2N = RTL to final netlist(pre-netlist)</t>
    <phoneticPr fontId="2" type="noConversion"/>
  </si>
  <si>
    <t>report file (failing point, …)</t>
    <phoneticPr fontId="2" type="noConversion"/>
  </si>
  <si>
    <t>Pre-layout STA</t>
    <phoneticPr fontId="2" type="noConversion"/>
  </si>
  <si>
    <t>Setup timing checked with pre-layout margin</t>
    <phoneticPr fontId="2" type="noConversion"/>
  </si>
  <si>
    <t>PrimeTime</t>
    <phoneticPr fontId="2" type="noConversion"/>
  </si>
  <si>
    <t>check_timing file</t>
    <phoneticPr fontId="2" type="noConversion"/>
  </si>
  <si>
    <t>report files (timing, violator, analysis …)</t>
    <phoneticPr fontId="2" type="noConversion"/>
  </si>
  <si>
    <t>Pre-layout Simulation</t>
    <phoneticPr fontId="2" type="noConversion"/>
  </si>
  <si>
    <t>ATPG simulation completed</t>
    <phoneticPr fontId="2" type="noConversion"/>
  </si>
  <si>
    <t>Functional simulation completed (optional)</t>
    <phoneticPr fontId="2" type="noConversion"/>
  </si>
  <si>
    <t>P&amp;R</t>
    <phoneticPr fontId="2" type="noConversion"/>
  </si>
  <si>
    <t>RTL to GDS</t>
    <phoneticPr fontId="2" type="noConversion"/>
  </si>
  <si>
    <t>ICC2</t>
    <phoneticPr fontId="2" type="noConversion"/>
  </si>
  <si>
    <t>post-layout netlist</t>
    <phoneticPr fontId="2" type="noConversion"/>
  </si>
  <si>
    <t>Physical design</t>
    <phoneticPr fontId="2" type="noConversion"/>
  </si>
  <si>
    <t>MDB</t>
    <phoneticPr fontId="2" type="noConversion"/>
  </si>
  <si>
    <t>2nd S/O</t>
    <phoneticPr fontId="2" type="noConversion"/>
  </si>
  <si>
    <t>CDM(Charged Device Model) Check</t>
    <phoneticPr fontId="2" type="noConversion"/>
  </si>
  <si>
    <t>Inserted CDM buffer checked</t>
    <phoneticPr fontId="2" type="noConversion"/>
  </si>
  <si>
    <t>CDM checker</t>
    <phoneticPr fontId="2" type="noConversion"/>
  </si>
  <si>
    <t>LVS/Spice netlist generation</t>
    <phoneticPr fontId="2" type="noConversion"/>
  </si>
  <si>
    <t>LVS netlist generated for top LVS</t>
    <phoneticPr fontId="2" type="noConversion"/>
  </si>
  <si>
    <t>Script</t>
    <phoneticPr fontId="2" type="noConversion"/>
  </si>
  <si>
    <t>LVS netlist</t>
    <phoneticPr fontId="2" type="noConversion"/>
  </si>
  <si>
    <t>Spice netlist generated for top simulation</t>
    <phoneticPr fontId="2" type="noConversion"/>
  </si>
  <si>
    <t>Spice netlist</t>
    <phoneticPr fontId="2" type="noConversion"/>
  </si>
  <si>
    <t>RC Extraction</t>
    <phoneticPr fontId="2" type="noConversion"/>
  </si>
  <si>
    <t>RC extraction completed for the SPEF</t>
    <phoneticPr fontId="2" type="noConversion"/>
  </si>
  <si>
    <t>Star-RCXT</t>
    <phoneticPr fontId="2" type="noConversion"/>
  </si>
  <si>
    <t>SPEF files</t>
    <phoneticPr fontId="2" type="noConversion"/>
  </si>
  <si>
    <t>report file (*.star_sum)</t>
    <phoneticPr fontId="2" type="noConversion"/>
  </si>
  <si>
    <t>Equivalence Check (N2N)</t>
    <phoneticPr fontId="2" type="noConversion"/>
  </si>
  <si>
    <t>Functional equivalence of two designs(N2N*) proven</t>
    <phoneticPr fontId="2" type="noConversion"/>
  </si>
  <si>
    <t>* N2N = final netlist(pre-netlist) to eco netlist(post-netlist)</t>
    <phoneticPr fontId="2" type="noConversion"/>
  </si>
  <si>
    <t>Post-layout STA</t>
    <phoneticPr fontId="2" type="noConversion"/>
  </si>
  <si>
    <t>Static timing analysis completed and timing sign-off</t>
    <phoneticPr fontId="2" type="noConversion"/>
  </si>
  <si>
    <t>Final SDF extracted</t>
    <phoneticPr fontId="2" type="noConversion"/>
  </si>
  <si>
    <t>update_timing file</t>
    <phoneticPr fontId="2" type="noConversion"/>
  </si>
  <si>
    <t>(or Physical design)</t>
    <phoneticPr fontId="2" type="noConversion"/>
  </si>
  <si>
    <t>report file (timing, violator, …)</t>
    <phoneticPr fontId="2" type="noConversion"/>
  </si>
  <si>
    <t>SDF files</t>
    <phoneticPr fontId="2" type="noConversion"/>
  </si>
  <si>
    <t>ATPG(All) completed and patterns verified</t>
    <phoneticPr fontId="2" type="noConversion"/>
  </si>
  <si>
    <t>Post-layout Simulation</t>
    <phoneticPr fontId="2" type="noConversion"/>
  </si>
  <si>
    <t>Dynamic simulation completed using post-layout SDF</t>
    <phoneticPr fontId="2" type="noConversion"/>
  </si>
  <si>
    <t>All simulation lists &amp; results@D-ZECH</t>
    <phoneticPr fontId="2" type="noConversion"/>
  </si>
  <si>
    <t>Static IR-Drop, DvD, Power/Signal EM</t>
    <phoneticPr fontId="2" type="noConversion"/>
  </si>
  <si>
    <t>Static IR-drop, DvD and Power/Signal EM analysis completed</t>
    <phoneticPr fontId="2" type="noConversion"/>
  </si>
  <si>
    <t>RedHawk</t>
    <phoneticPr fontId="2" type="noConversion"/>
  </si>
  <si>
    <t>result files (*.log, *.rpt)</t>
    <phoneticPr fontId="2" type="noConversion"/>
  </si>
  <si>
    <t>2nd Sign-off Design Review (DR2)</t>
    <phoneticPr fontId="2" type="noConversion"/>
  </si>
  <si>
    <t>D-ZECH reviewed</t>
    <phoneticPr fontId="2" type="noConversion"/>
  </si>
  <si>
    <t>DK Generation</t>
    <phoneticPr fontId="2" type="noConversion"/>
  </si>
  <si>
    <t>Library</t>
    <phoneticPr fontId="2" type="noConversion"/>
  </si>
  <si>
    <t>PrimeTime(ETM)/MAKE_LIB/LIB checker</t>
    <phoneticPr fontId="2" type="noConversion"/>
  </si>
  <si>
    <t>.lib/.db</t>
    <phoneticPr fontId="2" type="noConversion"/>
  </si>
  <si>
    <t>JTAG wrapper</t>
    <phoneticPr fontId="2" type="noConversion"/>
  </si>
  <si>
    <t>WGL</t>
    <phoneticPr fontId="2" type="noConversion"/>
  </si>
  <si>
    <t>VTRAN</t>
    <phoneticPr fontId="2" type="noConversion"/>
  </si>
  <si>
    <t>.wgl</t>
  </si>
  <si>
    <t>Model</t>
    <phoneticPr fontId="2" type="noConversion"/>
  </si>
  <si>
    <t>.v</t>
    <phoneticPr fontId="2" type="noConversion"/>
  </si>
  <si>
    <t>Vector generation</t>
    <phoneticPr fontId="2" type="noConversion"/>
  </si>
  <si>
    <t>ATE test simulation completed</t>
    <phoneticPr fontId="2" type="noConversion"/>
  </si>
  <si>
    <t>Vector generation completed</t>
    <phoneticPr fontId="2" type="noConversion"/>
  </si>
  <si>
    <t>VectorGen (excel)</t>
    <phoneticPr fontId="2" type="noConversion"/>
  </si>
  <si>
    <t>2  Changing summary</t>
    <phoneticPr fontId="2" type="noConversion"/>
  </si>
  <si>
    <r>
      <t xml:space="preserve">■ Customer: </t>
    </r>
    <r>
      <rPr>
        <b/>
        <sz val="12"/>
        <color rgb="FF0000CC"/>
        <rFont val="맑은 고딕"/>
        <family val="3"/>
        <charset val="129"/>
        <scheme val="minor"/>
      </rPr>
      <t xml:space="preserve"> </t>
    </r>
    <phoneticPr fontId="2" type="noConversion"/>
  </si>
  <si>
    <r>
      <t xml:space="preserve">■ IP Name: </t>
    </r>
    <r>
      <rPr>
        <b/>
        <sz val="12"/>
        <color rgb="FF0000CC"/>
        <rFont val="맑은 고딕"/>
        <family val="3"/>
        <charset val="129"/>
        <scheme val="minor"/>
      </rPr>
      <t xml:space="preserve"> </t>
    </r>
    <phoneticPr fontId="2" type="noConversion"/>
  </si>
  <si>
    <r>
      <t xml:space="preserve">■ Process: </t>
    </r>
    <r>
      <rPr>
        <b/>
        <sz val="12"/>
        <color rgb="FF0000CC"/>
        <rFont val="맑은 고딕"/>
        <family val="3"/>
        <charset val="129"/>
        <scheme val="minor"/>
      </rPr>
      <t xml:space="preserve"> </t>
    </r>
    <phoneticPr fontId="2" type="noConversion"/>
  </si>
  <si>
    <t>Category</t>
    <phoneticPr fontId="3" type="noConversion"/>
  </si>
  <si>
    <t>Sub Category</t>
    <phoneticPr fontId="3" type="noConversion"/>
  </si>
  <si>
    <t>Modification description</t>
    <phoneticPr fontId="3" type="noConversion"/>
  </si>
  <si>
    <t>Reason &amp; Purpose</t>
    <phoneticPr fontId="3" type="noConversion"/>
  </si>
  <si>
    <t>Estimated risk</t>
    <phoneticPr fontId="2" type="noConversion"/>
  </si>
  <si>
    <t>Designer Name</t>
    <phoneticPr fontId="3" type="noConversion"/>
  </si>
  <si>
    <t>Reviewer</t>
    <phoneticPr fontId="3" type="noConversion"/>
  </si>
  <si>
    <t>Reviewer Comment</t>
    <phoneticPr fontId="3" type="noConversion"/>
  </si>
  <si>
    <t>Details</t>
    <phoneticPr fontId="3" type="noConversion"/>
  </si>
  <si>
    <t>3  IP Design check list</t>
    <phoneticPr fontId="2" type="noConversion"/>
  </si>
  <si>
    <t>Number</t>
  </si>
  <si>
    <t>Percentage</t>
  </si>
  <si>
    <t>완료 (OK)</t>
    <phoneticPr fontId="3" type="noConversion"/>
  </si>
  <si>
    <t>웨이버</t>
    <phoneticPr fontId="2" type="noConversion"/>
  </si>
  <si>
    <t>미진행</t>
    <phoneticPr fontId="3" type="noConversion"/>
  </si>
  <si>
    <t>해당사항없음</t>
    <phoneticPr fontId="3" type="noConversion"/>
  </si>
  <si>
    <t>불충분</t>
    <phoneticPr fontId="2" type="noConversion"/>
  </si>
  <si>
    <t>진행중</t>
    <phoneticPr fontId="2" type="noConversion"/>
  </si>
  <si>
    <t>완료율 (%)</t>
    <phoneticPr fontId="3" type="noConversion"/>
  </si>
  <si>
    <t>Item</t>
    <phoneticPr fontId="3" type="noConversion"/>
  </si>
  <si>
    <t>No</t>
    <phoneticPr fontId="3" type="noConversion"/>
  </si>
  <si>
    <t>Check Point</t>
    <phoneticPr fontId="3" type="noConversion"/>
  </si>
  <si>
    <t xml:space="preserve">Designer </t>
    <phoneticPr fontId="3" type="noConversion"/>
  </si>
  <si>
    <t>Result / Evidence</t>
    <phoneticPr fontId="2" type="noConversion"/>
  </si>
  <si>
    <t>Designer comment</t>
    <phoneticPr fontId="2" type="noConversion"/>
  </si>
  <si>
    <t>Check</t>
    <phoneticPr fontId="3" type="noConversion"/>
  </si>
  <si>
    <t>1. Documentation for 
Design Specification</t>
  </si>
  <si>
    <t>Design SOR (.doc)</t>
    <phoneticPr fontId="2" type="noConversion"/>
  </si>
  <si>
    <r>
      <rPr>
        <sz val="10"/>
        <color rgb="FFFF0000"/>
        <rFont val="맑은 고딕"/>
        <family val="3"/>
        <charset val="129"/>
        <scheme val="minor"/>
      </rPr>
      <t>Detailed design requirements(i.e. design SOR) MUST be obtained from analog design team.</t>
    </r>
    <r>
      <rPr>
        <sz val="10"/>
        <color theme="1"/>
        <rFont val="맑은 고딕"/>
        <family val="3"/>
        <charset val="129"/>
        <scheme val="minor"/>
      </rPr>
      <t xml:space="preserve"> Also, design SOR should contain detailed information for digital design.
</t>
    </r>
    <r>
      <rPr>
        <sz val="10"/>
        <color rgb="FF0000FF"/>
        <rFont val="맑은 고딕"/>
        <family val="3"/>
        <charset val="129"/>
        <scheme val="minor"/>
      </rPr>
      <t>Specify EDM path of document.</t>
    </r>
    <phoneticPr fontId="2" type="noConversion"/>
  </si>
  <si>
    <t>Design information (.xls)</t>
    <phoneticPr fontId="2" type="noConversion"/>
  </si>
  <si>
    <r>
      <rPr>
        <sz val="10"/>
        <color rgb="FFFF0000"/>
        <rFont val="맑은 고딕"/>
        <family val="3"/>
        <charset val="129"/>
        <scheme val="minor"/>
      </rPr>
      <t>Design information file MUST be cross-reviewed and generated by both digital and analog design team.</t>
    </r>
    <r>
      <rPr>
        <sz val="10"/>
        <color theme="1"/>
        <rFont val="맑은 고딕"/>
        <family val="3"/>
        <charset val="129"/>
        <scheme val="minor"/>
      </rPr>
      <t xml:space="preserve"> Also, following contents MUST be included:
. All SFR by control type and categorization
. Analog/Digital Interface: Timing diagram of initialization sequence
. Analog/Digital Interface: Timing diagram of transition between different power-down modes
. Analog/Digital Interface: Analog control signal table @each power-down state
. CPR information
. List of ATB and DTB signals
. Test items for ATE
</t>
    </r>
    <r>
      <rPr>
        <sz val="10"/>
        <color rgb="FF0000FF"/>
        <rFont val="맑은 고딕"/>
        <family val="3"/>
        <charset val="129"/>
        <scheme val="minor"/>
      </rPr>
      <t>Specify EDM path of document.</t>
    </r>
    <phoneticPr fontId="2" type="noConversion"/>
  </si>
  <si>
    <t>Design note (.doc)</t>
    <phoneticPr fontId="2" type="noConversion"/>
  </si>
  <si>
    <r>
      <rPr>
        <sz val="10"/>
        <color rgb="FFFF0000"/>
        <rFont val="맑은 고딕"/>
        <family val="3"/>
        <charset val="129"/>
        <scheme val="minor"/>
      </rPr>
      <t>Design note MUST be based on design SOR and following contents MUST be included:</t>
    </r>
    <r>
      <rPr>
        <sz val="10"/>
        <color theme="1"/>
        <rFont val="맑은 고딕"/>
        <family val="3"/>
        <charset val="129"/>
        <scheme val="minor"/>
      </rPr>
      <t xml:space="preserve">
. All functional features and specifications including change list
. Digital block diagram
. Structure of clock distribution network
. Reset structure diagram
. Analog/Digital interface specification and timing diagram
. PCS/PMA interface specification and timing diagram
. BIST modes and supported patterns including programmable user pattern
  - PRBS and user-defined pattern should be available
</t>
    </r>
    <r>
      <rPr>
        <sz val="10"/>
        <color rgb="FF0000FF"/>
        <rFont val="맑은 고딕"/>
        <family val="3"/>
        <charset val="129"/>
        <scheme val="minor"/>
      </rPr>
      <t>Specify EDM path of document.</t>
    </r>
    <phoneticPr fontId="2" type="noConversion"/>
  </si>
  <si>
    <t>Noise scenario SOR (.doc)</t>
    <phoneticPr fontId="2" type="noConversion"/>
  </si>
  <si>
    <r>
      <rPr>
        <sz val="10"/>
        <color rgb="FFFF0000"/>
        <rFont val="맑은 고딕"/>
        <family val="3"/>
        <charset val="129"/>
        <scheme val="minor"/>
      </rPr>
      <t>Noise scenario SOR MUST be generated</t>
    </r>
    <r>
      <rPr>
        <sz val="10"/>
        <color theme="1"/>
        <rFont val="맑은 고딕"/>
        <family val="3"/>
        <charset val="129"/>
        <scheme val="minor"/>
      </rPr>
      <t xml:space="preserve"> and delivered to PCS design team. It's very important to make robust design.
</t>
    </r>
    <r>
      <rPr>
        <sz val="10"/>
        <color rgb="FF0000FF"/>
        <rFont val="맑은 고딕"/>
        <family val="3"/>
        <charset val="129"/>
        <scheme val="minor"/>
      </rPr>
      <t>Specify EDM path of document.</t>
    </r>
    <phoneticPr fontId="2" type="noConversion"/>
  </si>
  <si>
    <t>Verification SOR (.doc)</t>
    <phoneticPr fontId="2" type="noConversion"/>
  </si>
  <si>
    <r>
      <rPr>
        <sz val="10"/>
        <color rgb="FFFF0000"/>
        <rFont val="맑은 고딕"/>
        <family val="3"/>
        <charset val="129"/>
        <scheme val="minor"/>
      </rPr>
      <t xml:space="preserve">Verification SOR MUST be generated </t>
    </r>
    <r>
      <rPr>
        <sz val="10"/>
        <color theme="1"/>
        <rFont val="맑은 고딕"/>
        <family val="3"/>
        <charset val="129"/>
        <scheme val="minor"/>
      </rPr>
      <t xml:space="preserve">and provided to design verification team.
</t>
    </r>
    <r>
      <rPr>
        <sz val="10"/>
        <color rgb="FF0000FF"/>
        <rFont val="맑은 고딕"/>
        <family val="3"/>
        <charset val="129"/>
        <scheme val="minor"/>
      </rPr>
      <t>Specify EDM path of document.</t>
    </r>
    <phoneticPr fontId="2" type="noConversion"/>
  </si>
  <si>
    <t>Test timing specification (.doc)</t>
    <phoneticPr fontId="2" type="noConversion"/>
  </si>
  <si>
    <r>
      <rPr>
        <sz val="10"/>
        <color rgb="FFFF0000"/>
        <rFont val="맑은 고딕"/>
        <family val="2"/>
        <charset val="129"/>
      </rPr>
      <t>Interface timing specifications(e.g. clock frequency, data skew) regarding test modes MUST be provided to customer</t>
    </r>
    <r>
      <rPr>
        <sz val="10"/>
        <color rgb="FF000000"/>
        <rFont val="맑은 고딕"/>
        <family val="2"/>
        <charset val="129"/>
      </rPr>
      <t xml:space="preserve">, and you should allow customer to reflect them on top-level design.
. Reference clocks
. APB interface
. SCAN signals
. JTAG signals
</t>
    </r>
    <r>
      <rPr>
        <sz val="10"/>
        <color rgb="FF0000FF"/>
        <rFont val="맑은 고딕"/>
        <family val="2"/>
        <charset val="129"/>
      </rPr>
      <t>Specify EDM path of document.</t>
    </r>
  </si>
  <si>
    <t>PMA data sheet (.doc or .pdf)</t>
    <phoneticPr fontId="2" type="noConversion"/>
  </si>
  <si>
    <r>
      <t xml:space="preserve">Datasheet MUST be produced and include following items:
. IP Specification
. Pin description
. Functional description
. Register description
. Programming guide
</t>
    </r>
    <r>
      <rPr>
        <sz val="10"/>
        <color rgb="FF0000FF"/>
        <rFont val="맑은 고딕"/>
        <family val="3"/>
        <charset val="129"/>
        <scheme val="minor"/>
      </rPr>
      <t>Specify EDM path of document.</t>
    </r>
    <phoneticPr fontId="2" type="noConversion"/>
  </si>
  <si>
    <t>PMA test guide (.doc or .pdf)</t>
    <phoneticPr fontId="2" type="noConversion"/>
  </si>
  <si>
    <r>
      <t xml:space="preserve">Test plan MUST be generated and following items MUST be included:
. Test related pins
. Test items
. Vector generation guide
. Test board guide
</t>
    </r>
    <r>
      <rPr>
        <sz val="10"/>
        <color rgb="FF0000FF"/>
        <rFont val="맑은 고딕"/>
        <family val="3"/>
        <charset val="129"/>
        <scheme val="minor"/>
      </rPr>
      <t>Specify EDM path of document.</t>
    </r>
    <phoneticPr fontId="2" type="noConversion"/>
  </si>
  <si>
    <t>2. Static Quality 
Checks (LogCat)</t>
    <phoneticPr fontId="2" type="noConversion"/>
  </si>
  <si>
    <t>HTML report generated</t>
    <phoneticPr fontId="2" type="noConversion"/>
  </si>
  <si>
    <t>Specify the HTML file path of LogCat, hreport/index.html.</t>
    <phoneticPr fontId="2" type="noConversion"/>
  </si>
  <si>
    <t>Confirm 0 errors (including fatal)</t>
    <phoneticPr fontId="2" type="noConversion"/>
  </si>
  <si>
    <r>
      <rPr>
        <sz val="10"/>
        <color rgb="FFFF0000"/>
        <rFont val="맑은 고딕"/>
        <family val="3"/>
        <charset val="129"/>
        <scheme val="minor"/>
      </rPr>
      <t>Error MUST be cleared and cannot be waived.</t>
    </r>
    <r>
      <rPr>
        <sz val="10"/>
        <color theme="1"/>
        <rFont val="맑은 고딕"/>
        <family val="3"/>
        <charset val="129"/>
        <scheme val="minor"/>
      </rPr>
      <t xml:space="preserve">
Provide the rule number and your comments for waiver if you have any custom rule violation(i.e. error and fatal).</t>
    </r>
    <phoneticPr fontId="2" type="noConversion"/>
  </si>
  <si>
    <t>All LINT(SpyGlass-Lint) warnings reviewed and resolved</t>
    <phoneticPr fontId="2" type="noConversion"/>
  </si>
  <si>
    <r>
      <rPr>
        <sz val="10"/>
        <color rgb="FFFF0000"/>
        <rFont val="맑은 고딕"/>
        <family val="3"/>
        <charset val="129"/>
        <scheme val="minor"/>
      </rPr>
      <t xml:space="preserve">Review all warnings with waivers and confirm them. </t>
    </r>
    <r>
      <rPr>
        <sz val="10"/>
        <color theme="1"/>
        <rFont val="맑은 고딕"/>
        <family val="3"/>
        <charset val="129"/>
        <scheme val="minor"/>
      </rPr>
      <t xml:space="preserve">
- Ensure to solve the warning level issues.(or at least aware of the potential problem.)
- When you use the waivers to filter some violation messages of specified rules, you MUST review all waivers and confirm that. It's not possible to waive Error-MustFix even if waiver file has (Error-MustFix)rule names.</t>
    </r>
    <phoneticPr fontId="2" type="noConversion"/>
  </si>
  <si>
    <t>All CDC(Meridian-CDC) waivers reviewed and documented as CDC Waivers</t>
    <phoneticPr fontId="2" type="noConversion"/>
  </si>
  <si>
    <r>
      <rPr>
        <sz val="10"/>
        <color rgb="FFFF0000"/>
        <rFont val="맑은 고딕"/>
        <family val="3"/>
        <charset val="129"/>
        <scheme val="minor"/>
      </rPr>
      <t>Confirm 0 error and 0 warning with waivers.</t>
    </r>
    <r>
      <rPr>
        <sz val="10"/>
        <color theme="1"/>
        <rFont val="맑은 고딕"/>
        <family val="3"/>
        <charset val="129"/>
        <scheme val="minor"/>
      </rPr>
      <t xml:space="preserve">
- When you use the waivers to filter some violation messages of specified rules, you MUST review all waivers and confirm that. Also, </t>
    </r>
    <r>
      <rPr>
        <sz val="10"/>
        <color rgb="FFFF0000"/>
        <rFont val="맑은 고딕"/>
        <family val="3"/>
        <charset val="129"/>
        <scheme val="minor"/>
      </rPr>
      <t>you MUST provide a document for waiver if you waive some items.</t>
    </r>
    <phoneticPr fontId="2" type="noConversion"/>
  </si>
  <si>
    <t>All SYN(Design-Compiler) warning reviewed and resolved</t>
    <phoneticPr fontId="2" type="noConversion"/>
  </si>
  <si>
    <r>
      <rPr>
        <sz val="10"/>
        <color rgb="FFFF0000"/>
        <rFont val="맑은 고딕"/>
        <family val="3"/>
        <charset val="129"/>
        <scheme val="minor"/>
      </rPr>
      <t xml:space="preserve">Confirm 0 errors and all warnings. </t>
    </r>
    <r>
      <rPr>
        <sz val="10"/>
        <color theme="1"/>
        <rFont val="맑은 고딕"/>
        <family val="3"/>
        <charset val="129"/>
        <scheme val="minor"/>
      </rPr>
      <t xml:space="preserve">
- Ensure to solve the warning level issues.(or at least aware of the potential problem.) 
- Check if there is design(or lint) violation as following.
 . Timing loop
 . Multiple driver
[Note] Linked material is just a reference, not for sign-off.</t>
    </r>
    <phoneticPr fontId="2" type="noConversion"/>
  </si>
  <si>
    <t>All LEC(Formality) warning reviewed and resolved @pre-layout</t>
    <phoneticPr fontId="2" type="noConversion"/>
  </si>
  <si>
    <r>
      <rPr>
        <sz val="10"/>
        <color rgb="FFFF0000"/>
        <rFont val="맑은 고딕"/>
        <family val="3"/>
        <charset val="129"/>
        <scheme val="minor"/>
      </rPr>
      <t>Confirm 0 non-equivalent points and all warnings @function mode.</t>
    </r>
    <r>
      <rPr>
        <sz val="10"/>
        <color theme="1"/>
        <rFont val="맑은 고딕"/>
        <family val="3"/>
        <charset val="129"/>
        <scheme val="minor"/>
      </rPr>
      <t xml:space="preserve">
- Ensure to solve the warning level issues.(or at least aware of the potential problem.)
- You should check the functional equivalence between RTL and pre-layout netlist(R2N*), and all compare points MUST be passed verification. The functional equivalence should be checked by setting the functional mode before and after the scan insertion.
*R2N: Comparison with RTL to pre-layout netlist(final synthesized netlist before P&amp;R start)</t>
    </r>
    <phoneticPr fontId="2" type="noConversion"/>
  </si>
  <si>
    <t>All CDM(CDM-Checker) warning reviewed and resolved</t>
    <phoneticPr fontId="2" type="noConversion"/>
  </si>
  <si>
    <r>
      <rPr>
        <sz val="10"/>
        <color rgb="FFFF0000"/>
        <rFont val="맑은 고딕"/>
        <family val="3"/>
        <charset val="129"/>
        <scheme val="minor"/>
      </rPr>
      <t xml:space="preserve">Confirm 0 errors and all warnings. </t>
    </r>
    <r>
      <rPr>
        <sz val="10"/>
        <color theme="1"/>
        <rFont val="맑은 고딕"/>
        <family val="3"/>
        <charset val="129"/>
        <scheme val="minor"/>
      </rPr>
      <t xml:space="preserve">
- Ensure to solve the warning level issues.(or at least aware of the potential problem.) 
- Check if there is buffer insertion to the input net of CDM cell.</t>
    </r>
    <phoneticPr fontId="2" type="noConversion"/>
  </si>
  <si>
    <t>All LEC(Formality) warning reviewed and resolved @post-layout</t>
    <phoneticPr fontId="2" type="noConversion"/>
  </si>
  <si>
    <r>
      <rPr>
        <sz val="10"/>
        <color rgb="FFFF0000"/>
        <rFont val="맑은 고딕"/>
        <family val="3"/>
        <charset val="129"/>
        <scheme val="minor"/>
      </rPr>
      <t>Confirm 0 non-equivalent points and all warnings @function and test mode</t>
    </r>
    <r>
      <rPr>
        <sz val="10"/>
        <color theme="1"/>
        <rFont val="맑은 고딕"/>
        <family val="3"/>
        <charset val="129"/>
        <scheme val="minor"/>
      </rPr>
      <t xml:space="preserve">
- Ensure to solve the warning level issues.(or at least aware of the potential problem.)
- You should check the functional equivalence with final post-layout netlist*(N2N) which is used for tape-out LVS, and all compare points MUST be passed verification. Where, pre-layout netlist should be confirmed at pre-layout LEC(R2N).
* N2N: comparison with pre-layout netlist to final post-layout netlist</t>
    </r>
    <phoneticPr fontId="2" type="noConversion"/>
  </si>
  <si>
    <t>All PEX(StarRC) warning reviewed and resolved</t>
    <phoneticPr fontId="2" type="noConversion"/>
  </si>
  <si>
    <r>
      <rPr>
        <sz val="10"/>
        <color rgb="FFFF0000"/>
        <rFont val="맑은 고딕"/>
        <family val="2"/>
        <charset val="129"/>
      </rPr>
      <t xml:space="preserve">Confirm 0 errors and all warnings.
- All error messages should be cleared regardless of error type
- Following warning messages must be fixed before StarRC sign-off:
. (EX-414): open net
. (SX-0955): shorted nets
. (SX-0957): fill shorts
. Minimum spacing violations for layers
. (EX0-212): Device terminal --&gt; Polygon opens
. Net out of scope
</t>
    </r>
    <r>
      <rPr>
        <sz val="10"/>
        <color rgb="FF000000"/>
        <rFont val="맑은 고딕"/>
        <family val="2"/>
        <charset val="129"/>
      </rPr>
      <t>- Other warning messages should be checked with StarRC support.</t>
    </r>
  </si>
  <si>
    <t>All SDC(GCA) warning reviewed and resolved @post-layout</t>
    <phoneticPr fontId="2" type="noConversion"/>
  </si>
  <si>
    <t>2.10</t>
    <phoneticPr fontId="2" type="noConversion"/>
  </si>
  <si>
    <r>
      <rPr>
        <sz val="10"/>
        <color rgb="FFFF0000"/>
        <rFont val="맑은 고딕"/>
        <family val="3"/>
        <charset val="129"/>
        <scheme val="minor"/>
      </rPr>
      <t>Confirm 0 errors and all warnings.</t>
    </r>
    <r>
      <rPr>
        <sz val="10"/>
        <color theme="1"/>
        <rFont val="맑은 고딕"/>
        <family val="3"/>
        <charset val="129"/>
        <scheme val="minor"/>
      </rPr>
      <t xml:space="preserve">
- Ensure to solve the warning level issues.(or at least aware of the potential problem.)
- Some clock rule violations are reported as warning. Confirm that especially all no_clock points are invalid.</t>
    </r>
    <phoneticPr fontId="2" type="noConversion"/>
  </si>
  <si>
    <t>All STA(PrimeTime) warning reviewed and resolved @post-layout</t>
    <phoneticPr fontId="2" type="noConversion"/>
  </si>
  <si>
    <t>2.11</t>
    <phoneticPr fontId="2" type="noConversion"/>
  </si>
  <si>
    <r>
      <rPr>
        <sz val="10"/>
        <color rgb="FFFF0000"/>
        <rFont val="맑은 고딕"/>
        <family val="3"/>
        <charset val="129"/>
        <scheme val="minor"/>
      </rPr>
      <t>Confirm 0 errors and all warnings including following points:</t>
    </r>
    <r>
      <rPr>
        <sz val="10"/>
        <color theme="1"/>
        <rFont val="맑은 고딕"/>
        <family val="3"/>
        <charset val="129"/>
        <scheme val="minor"/>
      </rPr>
      <t xml:space="preserve">
. timing exception (e.g. set_false_path, set_multicycle_path)
. no_clock
. clock_gating
. untested
- Ensure to solve the warning level issues.(or at least aware of the potential problem.)
- check_timing results check for potential timing problem due to design structure or constraint error. Hence, you should always perform check_timing and check the results whenever design changes or new constraints are added. </t>
    </r>
    <phoneticPr fontId="2" type="noConversion"/>
  </si>
  <si>
    <t>All SIM(NC-Verilog) warning reviewed and resolved @post-layout</t>
    <phoneticPr fontId="2" type="noConversion"/>
  </si>
  <si>
    <t>2.12</t>
    <phoneticPr fontId="2" type="noConversion"/>
  </si>
  <si>
    <r>
      <rPr>
        <sz val="10"/>
        <color rgb="FFFF0000"/>
        <rFont val="맑은 고딕"/>
        <family val="3"/>
        <charset val="129"/>
        <scheme val="minor"/>
      </rPr>
      <t>Confirm 0 errors and all warnings.</t>
    </r>
    <r>
      <rPr>
        <sz val="10"/>
        <color theme="1"/>
        <rFont val="맑은 고딕"/>
        <family val="3"/>
        <charset val="129"/>
        <scheme val="minor"/>
      </rPr>
      <t xml:space="preserve">
- Ensure to solve the warning level issues.(or at least aware of the potential problem.)</t>
    </r>
    <phoneticPr fontId="2" type="noConversion"/>
  </si>
  <si>
    <t>All ATPG(TetraMax) warning reviewed and resolved @post-layout</t>
    <phoneticPr fontId="2" type="noConversion"/>
  </si>
  <si>
    <t>2.13</t>
    <phoneticPr fontId="2" type="noConversion"/>
  </si>
  <si>
    <t>All SDC(GCA) warning reviewed and resolved @ETM</t>
    <phoneticPr fontId="2" type="noConversion"/>
  </si>
  <si>
    <t>2.14</t>
    <phoneticPr fontId="2" type="noConversion"/>
  </si>
  <si>
    <t>All ETM(PrimeTime) warning reviewed and resolved</t>
    <phoneticPr fontId="2" type="noConversion"/>
  </si>
  <si>
    <t>2.15</t>
    <phoneticPr fontId="2" type="noConversion"/>
  </si>
  <si>
    <r>
      <rPr>
        <sz val="10"/>
        <color rgb="FFFF0000"/>
        <rFont val="맑은 고딕"/>
        <family val="3"/>
        <charset val="129"/>
        <scheme val="minor"/>
      </rPr>
      <t xml:space="preserve">Confirm 0 errors and all warnings.
</t>
    </r>
    <r>
      <rPr>
        <sz val="10"/>
        <rFont val="맑은 고딕"/>
        <family val="3"/>
        <charset val="129"/>
        <scheme val="minor"/>
      </rPr>
      <t xml:space="preserve">. timing exception (e.g. set_false_path, set_multicycle_path)
. no_clock
. clock_gating
. untested
- Ensure to solve the warning level issues.(or at least aware of the potential problem.)
- check_timing results check for potential timing problem due to design structure or constraint error. Hence, you should always perform check_timing and check the results whenever design changes or new constraints are added. </t>
    </r>
    <phoneticPr fontId="2" type="noConversion"/>
  </si>
  <si>
    <t>All information and setup_warning reviewed</t>
    <phoneticPr fontId="2" type="noConversion"/>
  </si>
  <si>
    <t>2.16</t>
    <phoneticPr fontId="2" type="noConversion"/>
  </si>
  <si>
    <t>Information level messages are not usually MUST-fix however they are useful to make robust design.</t>
  </si>
  <si>
    <t>3. RTL Sign-off</t>
    <phoneticPr fontId="2" type="noConversion"/>
  </si>
  <si>
    <t>All CDK's version checked</t>
    <phoneticPr fontId="2" type="noConversion"/>
  </si>
  <si>
    <t>3.1</t>
    <phoneticPr fontId="2" type="noConversion"/>
  </si>
  <si>
    <r>
      <rPr>
        <sz val="10"/>
        <color rgb="FFFF0000"/>
        <rFont val="맑은 고딕"/>
        <family val="3"/>
        <charset val="129"/>
        <scheme val="minor"/>
      </rPr>
      <t>You MUST check whether the latest version is used if PMA digital logic has the CDK such as below:</t>
    </r>
    <r>
      <rPr>
        <sz val="10"/>
        <color theme="1"/>
        <rFont val="맑은 고딕"/>
        <family val="3"/>
        <charset val="129"/>
        <scheme val="minor"/>
      </rPr>
      <t xml:space="preserve">
. EOM/FOM logic
. Input offset calibration logic
. CDR logic
. SSLMS logic
. PLL logic</t>
    </r>
    <phoneticPr fontId="2" type="noConversion"/>
  </si>
  <si>
    <t>Tied to 0 with all output ports to analog block</t>
    <phoneticPr fontId="2" type="noConversion"/>
  </si>
  <si>
    <t>3.2</t>
    <phoneticPr fontId="2" type="noConversion"/>
  </si>
  <si>
    <r>
      <rPr>
        <sz val="10"/>
        <color rgb="FFFF0000"/>
        <rFont val="맑은 고딕"/>
        <family val="3"/>
        <charset val="129"/>
        <scheme val="minor"/>
      </rPr>
      <t xml:space="preserve">All output signals to analog block MUST be tied to '0' in scan mode. </t>
    </r>
    <r>
      <rPr>
        <sz val="10"/>
        <color theme="1"/>
        <rFont val="맑은 고딕"/>
        <family val="3"/>
        <charset val="129"/>
        <scheme val="minor"/>
      </rPr>
      <t>Otherwise, it will cause electrical short between power and ground during ATE test such as SCAN and DVS(Dynamic Voltage Stress).</t>
    </r>
    <phoneticPr fontId="2" type="noConversion"/>
  </si>
  <si>
    <t>4. Logic Synthesis
(Design Compiler)</t>
    <phoneticPr fontId="2" type="noConversion"/>
  </si>
  <si>
    <t>Confirm APB clock frequency with customer</t>
    <phoneticPr fontId="2" type="noConversion"/>
  </si>
  <si>
    <t>4.1</t>
    <phoneticPr fontId="2" type="noConversion"/>
  </si>
  <si>
    <r>
      <rPr>
        <sz val="10"/>
        <color rgb="FFFF0000"/>
        <rFont val="맑은 고딕"/>
        <family val="3"/>
        <charset val="129"/>
        <scheme val="minor"/>
      </rPr>
      <t>Specify confirmed APB clock frequency.</t>
    </r>
    <r>
      <rPr>
        <b/>
        <i/>
        <sz val="10"/>
        <color rgb="FF0066FF"/>
        <rFont val="맑은 고딕"/>
        <family val="3"/>
        <charset val="129"/>
        <scheme val="minor"/>
      </rPr>
      <t xml:space="preserve">
</t>
    </r>
    <r>
      <rPr>
        <sz val="10"/>
        <color rgb="FFFF0000"/>
        <rFont val="맑은 고딕"/>
        <family val="3"/>
        <charset val="129"/>
        <scheme val="minor"/>
      </rPr>
      <t>The maximum APB clock frequency MUST be checked with customer</t>
    </r>
    <r>
      <rPr>
        <sz val="10"/>
        <color theme="1"/>
        <rFont val="맑은 고딕"/>
        <family val="3"/>
        <charset val="129"/>
        <scheme val="minor"/>
      </rPr>
      <t xml:space="preserve"> because that frequency depends on the APB bus on the SOC(or ASIC) top-level.</t>
    </r>
    <phoneticPr fontId="2" type="noConversion"/>
  </si>
  <si>
    <t>5. Scan Insertion 
(DFT Compiler)</t>
    <phoneticPr fontId="2" type="noConversion"/>
  </si>
  <si>
    <t>No errors in the log</t>
    <phoneticPr fontId="2" type="noConversion"/>
  </si>
  <si>
    <t>5.1</t>
    <phoneticPr fontId="2" type="noConversion"/>
  </si>
  <si>
    <t>Error MUST be cleared and cannot be waived.</t>
    <phoneticPr fontId="2" type="noConversion"/>
  </si>
  <si>
    <t>No DRC violation</t>
    <phoneticPr fontId="2" type="noConversion"/>
  </si>
  <si>
    <t>5.2</t>
    <phoneticPr fontId="2" type="noConversion"/>
  </si>
  <si>
    <r>
      <rPr>
        <sz val="10"/>
        <color rgb="FFFF0000"/>
        <rFont val="맑은 고딕"/>
        <family val="3"/>
        <charset val="129"/>
        <scheme val="minor"/>
      </rPr>
      <t>DFT DRC rule violations MUST be fixed</t>
    </r>
    <r>
      <rPr>
        <sz val="10"/>
        <color theme="1"/>
        <rFont val="맑은 고딕"/>
        <family val="3"/>
        <charset val="129"/>
        <scheme val="minor"/>
      </rPr>
      <t>, and clock and reset of all the scan flip-flops MUST be directly controllable from the primary ports.  Validate the following command report files as a part of the scan design rule check.
. preview_dft: generates the scan architecture information implemented in the design
. dft_drc: checks the current design against the test design rules of the test scan implementation</t>
    </r>
    <phoneticPr fontId="2" type="noConversion"/>
  </si>
  <si>
    <t>DFT isolation ring(i.e. core wrapping) inserted</t>
    <phoneticPr fontId="2" type="noConversion"/>
  </si>
  <si>
    <t>5.3</t>
    <phoneticPr fontId="2" type="noConversion"/>
  </si>
  <si>
    <r>
      <rPr>
        <sz val="10"/>
        <color rgb="FFFF0000"/>
        <rFont val="맑은 고딕"/>
        <family val="3"/>
        <charset val="129"/>
        <scheme val="minor"/>
      </rPr>
      <t>DFT isolation ring(i.e. core wrapping) MUST be inserted</t>
    </r>
    <r>
      <rPr>
        <sz val="10"/>
        <color theme="1"/>
        <rFont val="맑은 고딕"/>
        <family val="3"/>
        <charset val="129"/>
        <scheme val="minor"/>
      </rPr>
      <t xml:space="preserve"> to allow functional core to be tested separately from other functional logics. During insertion, followings MUST be excluded:
. Functional and test clock ports
. Asynchronous set or reset signal ports
. Scan-input, scan-output, scan-enable and other global test signal ports
. Wrapper signal ports
. Any port with a constant test signal value defined</t>
    </r>
    <phoneticPr fontId="2" type="noConversion"/>
  </si>
  <si>
    <t>Length of scan chain &lt; 250 FFs</t>
    <phoneticPr fontId="2" type="noConversion"/>
  </si>
  <si>
    <t>5.4</t>
    <phoneticPr fontId="2" type="noConversion"/>
  </si>
  <si>
    <r>
      <rPr>
        <sz val="10"/>
        <color rgb="FFFF0000"/>
        <rFont val="맑은 고딕"/>
        <family val="3"/>
        <charset val="129"/>
        <scheme val="minor"/>
      </rPr>
      <t>Specify length of scan chain.</t>
    </r>
    <r>
      <rPr>
        <b/>
        <i/>
        <sz val="10"/>
        <color rgb="FF0066FF"/>
        <rFont val="맑은 고딕"/>
        <family val="3"/>
        <charset val="129"/>
        <scheme val="minor"/>
      </rPr>
      <t xml:space="preserve">
</t>
    </r>
    <r>
      <rPr>
        <sz val="10"/>
        <color rgb="FFFF0000"/>
        <rFont val="맑은 고딕"/>
        <family val="3"/>
        <charset val="129"/>
        <scheme val="minor"/>
      </rPr>
      <t>You MUST meet the rules for scan chain length.</t>
    </r>
    <r>
      <rPr>
        <sz val="10"/>
        <color theme="1"/>
        <rFont val="맑은 고딕"/>
        <family val="3"/>
        <charset val="129"/>
        <scheme val="minor"/>
      </rPr>
      <t xml:space="preserve"> 
- Assign scan chain length at around 200 (Num. close to 200 recommended; No num. greater than 300)</t>
    </r>
    <phoneticPr fontId="2" type="noConversion"/>
  </si>
  <si>
    <t>6. Pre-layout STA 
(PrimeTime)</t>
    <phoneticPr fontId="2" type="noConversion"/>
  </si>
  <si>
    <t>No errors in the logs</t>
    <phoneticPr fontId="2" type="noConversion"/>
  </si>
  <si>
    <t>6.1</t>
    <phoneticPr fontId="2" type="noConversion"/>
  </si>
  <si>
    <t>All warnings reviewed and resolved</t>
    <phoneticPr fontId="2" type="noConversion"/>
  </si>
  <si>
    <t>6.2</t>
    <phoneticPr fontId="2" type="noConversion"/>
  </si>
  <si>
    <r>
      <rPr>
        <sz val="10"/>
        <color rgb="FFFF0000"/>
        <rFont val="맑은 고딕"/>
        <family val="3"/>
        <charset val="129"/>
        <scheme val="minor"/>
      </rPr>
      <t>Review all warnings and confirm them.</t>
    </r>
    <r>
      <rPr>
        <sz val="10"/>
        <color theme="1"/>
        <rFont val="맑은 고딕"/>
        <family val="3"/>
        <charset val="129"/>
        <scheme val="minor"/>
      </rPr>
      <t xml:space="preserve">
- Ensure to solve the warning level issues.(or at least aware of the potential problem.)</t>
    </r>
    <phoneticPr fontId="2" type="noConversion"/>
  </si>
  <si>
    <t>Confirm 0 setup timing violation</t>
    <phoneticPr fontId="2" type="noConversion"/>
  </si>
  <si>
    <t>6.3</t>
    <phoneticPr fontId="2" type="noConversion"/>
  </si>
  <si>
    <r>
      <rPr>
        <sz val="10"/>
        <color rgb="FF000000"/>
        <rFont val="맑은 고딕"/>
        <family val="3"/>
        <charset val="129"/>
        <scheme val="minor"/>
      </rPr>
      <t xml:space="preserve">You MUST sign-off synthesized logic netlist for predictable timing closure. </t>
    </r>
    <r>
      <rPr>
        <sz val="10"/>
        <color rgb="FFFF0000"/>
        <rFont val="맑은 고딕"/>
        <family val="3"/>
        <charset val="129"/>
        <scheme val="minor"/>
      </rPr>
      <t xml:space="preserve">Make sure that following check items are satisfied at delay-worst corner of function mode.
</t>
    </r>
    <r>
      <rPr>
        <sz val="10"/>
        <color rgb="FF000000"/>
        <rFont val="맑은 고딕"/>
        <family val="3"/>
        <charset val="129"/>
        <scheme val="minor"/>
      </rPr>
      <t>. No setup timing violation
. No extraordinary big hold timing violation
. No minimum period violation</t>
    </r>
  </si>
  <si>
    <t>7. Verification 
Coverage (DV)</t>
    <phoneticPr fontId="2" type="noConversion"/>
  </si>
  <si>
    <t>RTL version reviewed</t>
    <phoneticPr fontId="2" type="noConversion"/>
  </si>
  <si>
    <t>7.1</t>
    <phoneticPr fontId="2" type="noConversion"/>
  </si>
  <si>
    <r>
      <t xml:space="preserve">The primary DUT is PMA digital part. So, </t>
    </r>
    <r>
      <rPr>
        <sz val="10"/>
        <color rgb="FFFF0000"/>
        <rFont val="맑은 고딕"/>
        <family val="3"/>
        <charset val="129"/>
        <scheme val="minor"/>
      </rPr>
      <t>you MUST check whether RTL is the latest version.</t>
    </r>
    <r>
      <rPr>
        <sz val="10"/>
        <color theme="1"/>
        <rFont val="맑은 고딕"/>
        <family val="3"/>
        <charset val="129"/>
        <scheme val="minor"/>
      </rPr>
      <t xml:space="preserve"> If there is version update, inform through DV JIRA so that the RTL of the latest version can always be used.
- PMA analog will be verified only as an interoperability with PMA digital.</t>
    </r>
    <phoneticPr fontId="2" type="noConversion"/>
  </si>
  <si>
    <t>PMA verilog model version reviewed</t>
    <phoneticPr fontId="2" type="noConversion"/>
  </si>
  <si>
    <t>7.2</t>
    <phoneticPr fontId="2" type="noConversion"/>
  </si>
  <si>
    <r>
      <rPr>
        <sz val="10"/>
        <color rgb="FFFF0000"/>
        <rFont val="맑은 고딕"/>
        <family val="3"/>
        <charset val="129"/>
        <scheme val="minor"/>
      </rPr>
      <t>Specify verilog model version.</t>
    </r>
    <r>
      <rPr>
        <b/>
        <i/>
        <sz val="10"/>
        <color rgb="FF0066FF"/>
        <rFont val="맑은 고딕"/>
        <family val="3"/>
        <charset val="129"/>
        <scheme val="minor"/>
      </rPr>
      <t xml:space="preserve">
</t>
    </r>
    <r>
      <rPr>
        <sz val="10"/>
        <color rgb="FFFF0000"/>
        <rFont val="맑은 고딕"/>
        <family val="3"/>
        <charset val="129"/>
        <scheme val="minor"/>
      </rPr>
      <t>You should check the version of PMA verilog model before releasing it to design verification team</t>
    </r>
    <r>
      <rPr>
        <sz val="10"/>
        <color theme="1"/>
        <rFont val="맑은 고딕"/>
        <family val="3"/>
        <charset val="129"/>
        <scheme val="minor"/>
      </rPr>
      <t>, and provide the latest verilog model.</t>
    </r>
    <phoneticPr fontId="2" type="noConversion"/>
  </si>
  <si>
    <t>VerDict cross-reviewed with design verification team and signed-off ("Beta DV: PASS")</t>
    <phoneticPr fontId="2" type="noConversion"/>
  </si>
  <si>
    <t>7.3</t>
    <phoneticPr fontId="2" type="noConversion"/>
  </si>
  <si>
    <r>
      <rPr>
        <sz val="10"/>
        <color rgb="FFFF0000"/>
        <rFont val="맑은 고딕"/>
        <family val="3"/>
        <charset val="129"/>
        <scheme val="minor"/>
      </rPr>
      <t>Specify EDM path of VerDict.</t>
    </r>
    <r>
      <rPr>
        <b/>
        <i/>
        <sz val="10"/>
        <color rgb="FF0066FF"/>
        <rFont val="맑은 고딕"/>
        <family val="3"/>
        <charset val="129"/>
        <scheme val="minor"/>
      </rPr>
      <t xml:space="preserve">
</t>
    </r>
    <r>
      <rPr>
        <sz val="10"/>
        <color rgb="FFFF0000"/>
        <rFont val="맑은 고딕"/>
        <family val="3"/>
        <charset val="129"/>
        <scheme val="minor"/>
      </rPr>
      <t xml:space="preserve">Cross-review the VerDict sheet to check if there are any missing items </t>
    </r>
    <r>
      <rPr>
        <sz val="10"/>
        <color theme="1"/>
        <rFont val="맑은 고딕"/>
        <family val="3"/>
        <charset val="129"/>
        <scheme val="minor"/>
      </rPr>
      <t>between the design team and the verification team. If there are any deficiencies, supplement the test case.</t>
    </r>
    <phoneticPr fontId="2" type="noConversion"/>
  </si>
  <si>
    <t>Function coverage 100% passing with waivers</t>
    <phoneticPr fontId="2" type="noConversion"/>
  </si>
  <si>
    <t>7.4</t>
    <phoneticPr fontId="2" type="noConversion"/>
  </si>
  <si>
    <r>
      <t>Functional coverage is important to any verification approach since it is one of the factors used to determine when testing is done.  Specifically,</t>
    </r>
    <r>
      <rPr>
        <sz val="10"/>
        <color rgb="FFFF0000"/>
        <rFont val="맑은 고딕"/>
        <family val="3"/>
        <charset val="129"/>
        <scheme val="minor"/>
      </rPr>
      <t xml:space="preserve"> 100% functional coverage indicates that all items in the test plan have been tested.  Combine this with 100% code coverage and it indicates that testing is done.</t>
    </r>
    <phoneticPr fontId="2" type="noConversion"/>
  </si>
  <si>
    <t>Function coverage waivers reviewed and signed-off</t>
    <phoneticPr fontId="2" type="noConversion"/>
  </si>
  <si>
    <t>7.5</t>
    <phoneticPr fontId="2" type="noConversion"/>
  </si>
  <si>
    <r>
      <t>Functional coverage is code that observes execution of a test plan.</t>
    </r>
    <r>
      <rPr>
        <sz val="10"/>
        <color rgb="FFFF0000"/>
        <rFont val="맑은 고딕"/>
        <family val="3"/>
        <charset val="129"/>
        <scheme val="minor"/>
      </rPr>
      <t xml:space="preserve"> You MUST ensure that you have covered whole RTL and function features.</t>
    </r>
    <phoneticPr fontId="2" type="noConversion"/>
  </si>
  <si>
    <t>Code coverage 100% with waivers</t>
    <phoneticPr fontId="2" type="noConversion"/>
  </si>
  <si>
    <t>7.6</t>
    <phoneticPr fontId="2" type="noConversion"/>
  </si>
  <si>
    <r>
      <rPr>
        <sz val="10"/>
        <color rgb="FFFF0000"/>
        <rFont val="맑은 고딕"/>
        <family val="3"/>
        <charset val="129"/>
        <scheme val="minor"/>
      </rPr>
      <t>Test done = Test plan executed and All code executed</t>
    </r>
    <r>
      <rPr>
        <sz val="10"/>
        <color theme="1"/>
        <rFont val="맑은 고딕"/>
        <family val="3"/>
        <charset val="129"/>
        <scheme val="minor"/>
      </rPr>
      <t xml:space="preserve">
Even if your code coverage is 100% you cannot say that your func cov. is 100% because there may be missing code in the RTL that was expected to be there according to the specification.</t>
    </r>
    <phoneticPr fontId="2" type="noConversion"/>
  </si>
  <si>
    <t>Code coverage waivers reviewed and signed-off</t>
    <phoneticPr fontId="2" type="noConversion"/>
  </si>
  <si>
    <t>7.7</t>
    <phoneticPr fontId="2" type="noConversion"/>
  </si>
  <si>
    <r>
      <rPr>
        <sz val="10"/>
        <color rgb="FFFF0000"/>
        <rFont val="맑은 고딕"/>
        <family val="3"/>
        <charset val="129"/>
        <scheme val="minor"/>
      </rPr>
      <t>There should be no exclude block and expression in the code coverage analysis.</t>
    </r>
    <r>
      <rPr>
        <sz val="10"/>
        <color theme="1"/>
        <rFont val="맑은 고딕"/>
        <family val="3"/>
        <charset val="129"/>
        <scheme val="minor"/>
      </rPr>
      <t xml:space="preserve"> However, if the block and expression are excluded due to the lack of verification SOR or lack of verification scenarios, the item will eventually affect the function coverage.</t>
    </r>
    <phoneticPr fontId="2" type="noConversion"/>
  </si>
  <si>
    <t>No RTL bugs</t>
    <phoneticPr fontId="2" type="noConversion"/>
  </si>
  <si>
    <t>7.8</t>
    <phoneticPr fontId="2" type="noConversion"/>
  </si>
  <si>
    <r>
      <t xml:space="preserve">RTL bug was found in Beta-DV(or final DV), but RTL fix may not be made due to project schedule.  In this case, </t>
    </r>
    <r>
      <rPr>
        <sz val="10"/>
        <color rgb="FFFF0000"/>
        <rFont val="맑은 고딕"/>
        <family val="3"/>
        <charset val="129"/>
        <scheme val="minor"/>
      </rPr>
      <t>it should be specified whether there is bug that are decided to be modified in the next project due to the known issue.</t>
    </r>
    <r>
      <rPr>
        <sz val="10"/>
        <color theme="1"/>
        <rFont val="맑은 고딕"/>
        <family val="3"/>
        <charset val="129"/>
        <scheme val="minor"/>
      </rPr>
      <t xml:space="preserve"> Also, the JIRA issue should not be closed.</t>
    </r>
    <phoneticPr fontId="2" type="noConversion"/>
  </si>
  <si>
    <t>All JIRA DV issues closed</t>
    <phoneticPr fontId="2" type="noConversion"/>
  </si>
  <si>
    <t>7.9</t>
    <phoneticPr fontId="2" type="noConversion"/>
  </si>
  <si>
    <r>
      <rPr>
        <sz val="10"/>
        <color rgb="FFFF0000"/>
        <rFont val="맑은 고딕"/>
        <family val="3"/>
        <charset val="129"/>
        <scheme val="minor"/>
      </rPr>
      <t>At the time of Beta-DV(or final DV) completion, you MUST review if all JIRA issues have been closed.</t>
    </r>
    <r>
      <rPr>
        <sz val="10"/>
        <color theme="1"/>
        <rFont val="맑은 고딕"/>
        <family val="3"/>
        <charset val="129"/>
        <scheme val="minor"/>
      </rPr>
      <t xml:space="preserve"> If the DV including both function and code coverage is completed but the JIRA issue is not closed, you cannot say that Beta-DV is completion.</t>
    </r>
    <phoneticPr fontId="2" type="noConversion"/>
  </si>
  <si>
    <t>8. P&amp;R (ICC2)</t>
    <phoneticPr fontId="2" type="noConversion"/>
  </si>
  <si>
    <t>SDC generated from pre-layout STA</t>
    <phoneticPr fontId="2" type="noConversion"/>
  </si>
  <si>
    <t>8.1</t>
    <phoneticPr fontId="2" type="noConversion"/>
  </si>
  <si>
    <r>
      <rPr>
        <sz val="10"/>
        <color rgb="FFFF0000"/>
        <rFont val="맑은 고딕"/>
        <family val="3"/>
        <charset val="129"/>
        <scheme val="minor"/>
      </rPr>
      <t>You MUST provide to physical design team the SDC(i.e. timing constraints) exported from pre-layout STA stage</t>
    </r>
    <r>
      <rPr>
        <sz val="10"/>
        <color theme="1"/>
        <rFont val="맑은 고딕"/>
        <family val="3"/>
        <charset val="129"/>
        <scheme val="minor"/>
      </rPr>
      <t xml:space="preserve"> because clean SDC should be used in P&amp;R. The quality of SDC can make a tremendous impact on the P&amp;R result and TAT.</t>
    </r>
    <phoneticPr fontId="2" type="noConversion"/>
  </si>
  <si>
    <t>ECO and spare cell inserted</t>
    <phoneticPr fontId="2" type="noConversion"/>
  </si>
  <si>
    <t>8.2</t>
    <phoneticPr fontId="2" type="noConversion"/>
  </si>
  <si>
    <r>
      <rPr>
        <sz val="10"/>
        <color rgb="FFFF0000"/>
        <rFont val="맑은 고딕"/>
        <family val="3"/>
        <charset val="129"/>
        <scheme val="minor"/>
      </rPr>
      <t>ECO and spare cell MUST be inserted</t>
    </r>
    <r>
      <rPr>
        <sz val="10"/>
        <color theme="1"/>
        <rFont val="맑은 고딕"/>
        <family val="3"/>
        <charset val="129"/>
        <scheme val="minor"/>
      </rPr>
      <t xml:space="preserve"> and you MUST check whether they are inserted after P&amp;R.
- Whenever the design is required to perform some functional ECO, spare cell would be used.</t>
    </r>
    <phoneticPr fontId="2" type="noConversion"/>
  </si>
  <si>
    <t>Clock path reviewed with physical design team</t>
    <phoneticPr fontId="2" type="noConversion"/>
  </si>
  <si>
    <t>8.3</t>
    <phoneticPr fontId="2" type="noConversion"/>
  </si>
  <si>
    <r>
      <rPr>
        <sz val="10"/>
        <color rgb="FFFF0000"/>
        <rFont val="맑은 고딕"/>
        <family val="3"/>
        <charset val="129"/>
        <scheme val="minor"/>
      </rPr>
      <t>Insert shielding metals around clock nets and widening clocks net's width/space to prevent noise problem and timing performance degradation.(e.g. IP spec - 2w2s)</t>
    </r>
    <r>
      <rPr>
        <sz val="10"/>
        <rFont val="맑은 고딕"/>
        <family val="3"/>
        <charset val="129"/>
        <scheme val="minor"/>
      </rPr>
      <t xml:space="preserve"> Since the clock signal is one of the most important signal in a synchronized design, designer should efficiently prevent crosstalk noise on clock line. Clock shield is one of the efficient methods to prevent crosstalk.</t>
    </r>
    <r>
      <rPr>
        <sz val="10"/>
        <color rgb="FFFF0000"/>
        <rFont val="맑은 고딕"/>
        <family val="3"/>
        <charset val="129"/>
        <scheme val="minor"/>
      </rPr>
      <t xml:space="preserve"> 
</t>
    </r>
    <r>
      <rPr>
        <sz val="10"/>
        <rFont val="맑은 고딕"/>
        <family val="3"/>
        <charset val="129"/>
        <scheme val="minor"/>
      </rPr>
      <t xml:space="preserve">[Note] Linked material is just a reference, not for sign-off. </t>
    </r>
    <phoneticPr fontId="2" type="noConversion"/>
  </si>
  <si>
    <t>9. RC Extraction 
(StarRC)</t>
    <phoneticPr fontId="2" type="noConversion"/>
  </si>
  <si>
    <t>Command file(i.e. run-set) version checked
e.g.) LN04LPE_Cell_template_star.cmd</t>
    <phoneticPr fontId="2" type="noConversion"/>
  </si>
  <si>
    <t>9.1</t>
    <phoneticPr fontId="2" type="noConversion"/>
  </si>
  <si>
    <r>
      <t xml:space="preserve">Command file is ASCII file containing StarRC commands that controls extraction functions. </t>
    </r>
    <r>
      <rPr>
        <sz val="10"/>
        <color rgb="FFFF0000"/>
        <rFont val="맑은 고딕"/>
        <family val="3"/>
        <charset val="129"/>
        <scheme val="minor"/>
      </rPr>
      <t>You MUST check whether it is the latest because those correct commands should be applied to StarRC flow.</t>
    </r>
    <r>
      <rPr>
        <sz val="10"/>
        <color theme="1"/>
        <rFont val="맑은 고딕"/>
        <family val="3"/>
        <charset val="129"/>
        <scheme val="minor"/>
      </rPr>
      <t xml:space="preserve">
- Check the section PEX Commands for Cell Level Design of the sign-off document for each process.</t>
    </r>
    <phoneticPr fontId="2" type="noConversion"/>
  </si>
  <si>
    <t>Metal stack option checked with analog design team</t>
    <phoneticPr fontId="2" type="noConversion"/>
  </si>
  <si>
    <t>9.2</t>
    <phoneticPr fontId="2" type="noConversion"/>
  </si>
  <si>
    <r>
      <t xml:space="preserve">StarRC uses the NXTGRD file to calculate parasitics of the actual layout by pattern matching, and this database contain conductor sheet resistances and modules for 3D parasitic capacitance calculation. So, </t>
    </r>
    <r>
      <rPr>
        <sz val="10"/>
        <color rgb="FFFF0000"/>
        <rFont val="맑은 고딕"/>
        <family val="3"/>
        <charset val="129"/>
        <scheme val="minor"/>
      </rPr>
      <t>you MUST check top metal-stack option and then apply the NXTGRD file with matched metal-stack option during RC extraction.</t>
    </r>
    <phoneticPr fontId="2" type="noConversion"/>
  </si>
  <si>
    <t>NXTGRD file version checked</t>
    <phoneticPr fontId="2" type="noConversion"/>
  </si>
  <si>
    <t>9.3</t>
    <phoneticPr fontId="2" type="noConversion"/>
  </si>
  <si>
    <t>The version of StarRC NXTGRD file MUST be matched the latest PDK version.</t>
    <phoneticPr fontId="2" type="noConversion"/>
  </si>
  <si>
    <t>10. Timing Constraint
Verification (GCA)</t>
    <phoneticPr fontId="2" type="noConversion"/>
  </si>
  <si>
    <r>
      <rPr>
        <i/>
        <sz val="11"/>
        <color theme="1"/>
        <rFont val="Calibri"/>
        <family val="2"/>
      </rPr>
      <t xml:space="preserve">[for Serdes IP only] </t>
    </r>
    <r>
      <rPr>
        <sz val="11"/>
        <color theme="1"/>
        <rFont val="Calibri"/>
        <family val="2"/>
      </rPr>
      <t>Timing requirements for serializer</t>
    </r>
    <phoneticPr fontId="2" type="noConversion"/>
  </si>
  <si>
    <t>10.1</t>
    <phoneticPr fontId="2" type="noConversion"/>
  </si>
  <si>
    <r>
      <rPr>
        <sz val="10"/>
        <color rgb="FFFF0000"/>
        <rFont val="맑은 고딕"/>
        <family val="3"/>
        <charset val="129"/>
        <scheme val="minor"/>
      </rPr>
      <t>Specify EDM path of document.</t>
    </r>
    <r>
      <rPr>
        <sz val="10"/>
        <color theme="1"/>
        <rFont val="맑은 고딕"/>
        <family val="3"/>
        <charset val="129"/>
        <scheme val="minor"/>
      </rPr>
      <t xml:space="preserve">
</t>
    </r>
    <r>
      <rPr>
        <sz val="10"/>
        <color rgb="FFFF0000"/>
        <rFont val="맑은 고딕"/>
        <family val="3"/>
        <charset val="129"/>
        <scheme val="minor"/>
      </rPr>
      <t xml:space="preserve">You need the timing requirements for both serializer and deserializer </t>
    </r>
    <r>
      <rPr>
        <sz val="10"/>
        <color theme="1"/>
        <rFont val="맑은 고딕"/>
        <family val="3"/>
        <charset val="129"/>
        <scheme val="minor"/>
      </rPr>
      <t>in order to check interface timing correctly between digital and analog and they MUST be obtained from analog design team. Also, they may vary depending on process and design.
. Serializer: set_output_delay -min/max DELAY [get_ports B]</t>
    </r>
    <phoneticPr fontId="2" type="noConversion"/>
  </si>
  <si>
    <r>
      <rPr>
        <i/>
        <sz val="11"/>
        <color theme="1"/>
        <rFont val="Calibri"/>
        <family val="2"/>
      </rPr>
      <t>[for Serdes IP only]</t>
    </r>
    <r>
      <rPr>
        <sz val="11"/>
        <color theme="1"/>
        <rFont val="Calibri"/>
        <family val="2"/>
      </rPr>
      <t xml:space="preserve"> Timing requirements for deserializer</t>
    </r>
    <phoneticPr fontId="2" type="noConversion"/>
  </si>
  <si>
    <t>10.2</t>
    <phoneticPr fontId="2" type="noConversion"/>
  </si>
  <si>
    <r>
      <rPr>
        <sz val="10"/>
        <color rgb="FFFF0000"/>
        <rFont val="맑은 고딕"/>
        <family val="3"/>
        <charset val="129"/>
        <scheme val="minor"/>
      </rPr>
      <t>Specify EDM path of document.</t>
    </r>
    <r>
      <rPr>
        <b/>
        <i/>
        <sz val="10"/>
        <color rgb="FF0066FF"/>
        <rFont val="맑은 고딕"/>
        <family val="3"/>
        <charset val="129"/>
        <scheme val="minor"/>
      </rPr>
      <t xml:space="preserve">
</t>
    </r>
    <r>
      <rPr>
        <sz val="10"/>
        <color rgb="FFFF0000"/>
        <rFont val="맑은 고딕"/>
        <family val="3"/>
        <charset val="129"/>
        <scheme val="minor"/>
      </rPr>
      <t>You need the timing requirements for both serializer and deserializer</t>
    </r>
    <r>
      <rPr>
        <sz val="10"/>
        <color theme="1"/>
        <rFont val="맑은 고딕"/>
        <family val="3"/>
        <charset val="129"/>
        <scheme val="minor"/>
      </rPr>
      <t xml:space="preserve"> in order to check interface timing correctly between digital and analog and they MUST be obtained from analog design team. Also, they may vary depending on process and design.
. Deserializer: set_input_delay -min/max DELAY [get_ports A]</t>
    </r>
    <phoneticPr fontId="2" type="noConversion"/>
  </si>
  <si>
    <t>All supported STA scenarios defined and aligned with SDC</t>
    <phoneticPr fontId="2" type="noConversion"/>
  </si>
  <si>
    <t>10.3</t>
    <phoneticPr fontId="2" type="noConversion"/>
  </si>
  <si>
    <r>
      <rPr>
        <sz val="10"/>
        <color rgb="FFFF0000"/>
        <rFont val="맑은 고딕"/>
        <family val="3"/>
        <charset val="129"/>
        <scheme val="minor"/>
      </rPr>
      <t>Specify each timing scenario according to the STA plan.</t>
    </r>
    <r>
      <rPr>
        <sz val="10"/>
        <color theme="1"/>
        <rFont val="맑은 고딕"/>
        <family val="3"/>
        <charset val="129"/>
        <scheme val="minor"/>
      </rPr>
      <t xml:space="preserve">
You should establish STA plan to cover all meaningful timing path. 
[Example] normal, loopback, scan</t>
    </r>
    <phoneticPr fontId="2" type="noConversion"/>
  </si>
  <si>
    <t>11. Post-Layout
STA (PrimeTime)</t>
    <phoneticPr fontId="2" type="noConversion"/>
  </si>
  <si>
    <r>
      <rPr>
        <i/>
        <sz val="11"/>
        <color theme="1"/>
        <rFont val="Calibri"/>
        <family val="2"/>
      </rPr>
      <t xml:space="preserve">[for Vtyp±10% only] </t>
    </r>
    <r>
      <rPr>
        <sz val="11"/>
        <color theme="1"/>
        <rFont val="Calibri"/>
        <family val="2"/>
      </rPr>
      <t>PrimeTime reference script's version reviewed</t>
    </r>
    <phoneticPr fontId="2" type="noConversion"/>
  </si>
  <si>
    <t>11.1</t>
    <phoneticPr fontId="2" type="noConversion"/>
  </si>
  <si>
    <t>Specify version of script.
You should check the version of PrimeTime reference script, which is customized by design technology team, and make sure to use the latest one. You can download this from B2B(or SmartD&amp;E) system.</t>
  </si>
  <si>
    <r>
      <rPr>
        <i/>
        <sz val="11"/>
        <color theme="1"/>
        <rFont val="Calibri"/>
        <family val="2"/>
      </rPr>
      <t>[for Vtyp±10% only]</t>
    </r>
    <r>
      <rPr>
        <sz val="11"/>
        <color theme="1"/>
        <rFont val="Calibri"/>
        <family val="2"/>
      </rPr>
      <t xml:space="preserve"> Design spec. for OCV margin checked and reviewed with design technology team</t>
    </r>
    <phoneticPr fontId="2" type="noConversion"/>
  </si>
  <si>
    <t>11.2</t>
    <phoneticPr fontId="2" type="noConversion"/>
  </si>
  <si>
    <t>To perform the accurate STA, you have to set proper OCV margin calculated by margin estimator. In case of foundry DM(e.g. Vtyp±10%), you MUST get the OCV margin from the margin estimation tool, AntsMaestro by design technology team and check the design conditions for inputs.
[Note] Linked material is just a reference, not for sign-off.</t>
  </si>
  <si>
    <r>
      <rPr>
        <i/>
        <sz val="11"/>
        <color theme="1"/>
        <rFont val="Calibri"/>
        <family val="2"/>
      </rPr>
      <t>[for Vtyp±5% only]</t>
    </r>
    <r>
      <rPr>
        <sz val="11"/>
        <color theme="1"/>
        <rFont val="Calibri"/>
        <family val="2"/>
      </rPr>
      <t xml:space="preserve"> Excel based timing Margin Estimator(ME) version checked</t>
    </r>
    <phoneticPr fontId="2" type="noConversion"/>
  </si>
  <si>
    <t>11.3</t>
    <phoneticPr fontId="2" type="noConversion"/>
  </si>
  <si>
    <r>
      <t xml:space="preserve">Since the timing margin is very complicated and varies according to design specification, a margin estimator is provided to present the appropriate sign-off OCV timing margins according to the design specification. </t>
    </r>
    <r>
      <rPr>
        <sz val="10"/>
        <color rgb="FFFF0000"/>
        <rFont val="맑은 고딕"/>
        <family val="3"/>
        <charset val="129"/>
        <scheme val="minor"/>
      </rPr>
      <t>To get timing margins for each target process, use the excel sheet provided by design technology team.</t>
    </r>
    <r>
      <rPr>
        <sz val="10"/>
        <color theme="1"/>
        <rFont val="맑은 고딕"/>
        <family val="3"/>
        <charset val="129"/>
        <scheme val="minor"/>
      </rPr>
      <t xml:space="preserve"> Design technology team release each maring estimator according to process. </t>
    </r>
    <phoneticPr fontId="2" type="noConversion"/>
  </si>
  <si>
    <r>
      <rPr>
        <i/>
        <sz val="11"/>
        <color theme="1"/>
        <rFont val="Calibri"/>
        <family val="2"/>
      </rPr>
      <t>[for Vtyp±5% only]</t>
    </r>
    <r>
      <rPr>
        <sz val="11"/>
        <color theme="1"/>
        <rFont val="Calibri"/>
        <family val="2"/>
      </rPr>
      <t xml:space="preserve"> Design spec. for OCV margin calculation reviewed</t>
    </r>
    <phoneticPr fontId="2" type="noConversion"/>
  </si>
  <si>
    <t>11.4</t>
    <phoneticPr fontId="2" type="noConversion"/>
  </si>
  <si>
    <r>
      <rPr>
        <sz val="10"/>
        <color rgb="FFFF0000"/>
        <rFont val="맑은 고딕"/>
        <family val="3"/>
        <charset val="129"/>
        <scheme val="minor"/>
      </rPr>
      <t>You can choose each design condition according to the design specification.</t>
    </r>
    <r>
      <rPr>
        <sz val="10"/>
        <color theme="1"/>
        <rFont val="맑은 고딕"/>
        <family val="3"/>
        <charset val="129"/>
        <scheme val="minor"/>
      </rPr>
      <t xml:space="preserve">
. Voltage
. Temperature
. Reliability margins</t>
    </r>
    <phoneticPr fontId="2" type="noConversion"/>
  </si>
  <si>
    <t>STA sign-off corners checked and implemented</t>
    <phoneticPr fontId="2" type="noConversion"/>
  </si>
  <si>
    <t>11.5</t>
    <phoneticPr fontId="2" type="noConversion"/>
  </si>
  <si>
    <t>Ensure that timing sign-off corners for the final timing sign-off. The sign-off document provides the timing sign-off requirements such as sign-off criteria, RC extraction, timing sign-off corners, and timing sign-off margins. You can download this from the website, samsungfoundry.</t>
  </si>
  <si>
    <t>Version and option for SDF generation checked</t>
    <phoneticPr fontId="2" type="noConversion"/>
  </si>
  <si>
    <t>11.6</t>
    <phoneticPr fontId="2" type="noConversion"/>
  </si>
  <si>
    <r>
      <rPr>
        <sz val="10"/>
        <color rgb="FFFF0000"/>
        <rFont val="맑은 고딕"/>
        <family val="3"/>
        <charset val="129"/>
        <scheme val="minor"/>
      </rPr>
      <t>You can check the SDF version through PrimeTime application note and the confirmed version should be specified when extracting the SDF.</t>
    </r>
    <r>
      <rPr>
        <sz val="10"/>
        <color theme="1"/>
        <rFont val="맑은 고딕"/>
        <family val="3"/>
        <charset val="129"/>
        <scheme val="minor"/>
      </rPr>
      <t xml:space="preserve"> If the version does not match, the annotated timing is likely to be applied incorrectly during post-layout simulation.</t>
    </r>
    <phoneticPr fontId="2" type="noConversion"/>
  </si>
  <si>
    <t>12. Post-Layout 
Simulation (Verilog)</t>
    <phoneticPr fontId="2" type="noConversion"/>
  </si>
  <si>
    <t>Post-layout netlist simulated with SDF annotation 100% at SS/FF corners</t>
    <phoneticPr fontId="2" type="noConversion"/>
  </si>
  <si>
    <t>12.1</t>
    <phoneticPr fontId="2" type="noConversion"/>
  </si>
  <si>
    <r>
      <t xml:space="preserve">The SDF must be extracted for both worst and best corners that performed Post STA and </t>
    </r>
    <r>
      <rPr>
        <sz val="10"/>
        <color rgb="FFFF0000"/>
        <rFont val="맑은 고딕"/>
        <family val="3"/>
        <charset val="129"/>
        <scheme val="minor"/>
      </rPr>
      <t>the SDF must be annotated in the verilog simulation environment.</t>
    </r>
    <phoneticPr fontId="2" type="noConversion"/>
  </si>
  <si>
    <t>Function mode tests 100% passing</t>
    <phoneticPr fontId="2" type="noConversion"/>
  </si>
  <si>
    <t>12.2</t>
    <phoneticPr fontId="2" type="noConversion"/>
  </si>
  <si>
    <r>
      <rPr>
        <sz val="10"/>
        <color rgb="FFFF0000"/>
        <rFont val="맑은 고딕"/>
        <family val="3"/>
        <charset val="129"/>
        <scheme val="minor"/>
      </rPr>
      <t>You MUST check whether the simulation has been completed with annotation of the SDF in the verilog simulation environment.</t>
    </r>
    <r>
      <rPr>
        <sz val="10"/>
        <color theme="1"/>
        <rFont val="맑은 고딕"/>
        <family val="3"/>
        <charset val="129"/>
        <scheme val="minor"/>
      </rPr>
      <t xml:space="preserve"> This function mode test can be performed in PCS full-stack simulation by design verification team.
. APB read/wriete</t>
    </r>
    <phoneticPr fontId="2" type="noConversion"/>
  </si>
  <si>
    <t>Test mode tests 100% passing</t>
    <phoneticPr fontId="2" type="noConversion"/>
  </si>
  <si>
    <t>12.3</t>
    <phoneticPr fontId="2" type="noConversion"/>
  </si>
  <si>
    <r>
      <rPr>
        <sz val="10"/>
        <color rgb="FFFF0000"/>
        <rFont val="맑은 고딕"/>
        <family val="3"/>
        <charset val="129"/>
        <scheme val="minor"/>
      </rPr>
      <t xml:space="preserve">You MUST run the simulation for test modes such as following:
</t>
    </r>
    <r>
      <rPr>
        <sz val="10"/>
        <rFont val="맑은 고딕"/>
        <family val="3"/>
        <charset val="129"/>
        <scheme val="minor"/>
      </rPr>
      <t>. APB read/write</t>
    </r>
    <r>
      <rPr>
        <sz val="10"/>
        <color theme="1"/>
        <rFont val="맑은 고딕"/>
        <family val="3"/>
        <charset val="129"/>
        <scheme val="minor"/>
      </rPr>
      <t xml:space="preserve">
. SCAN test with parallel and serial
. External loopback with all supported BIST patterns
. Internal loopback with all supported BIST patterns</t>
    </r>
    <phoneticPr fontId="2" type="noConversion"/>
  </si>
  <si>
    <t>X-model test cases 100% passing</t>
    <phoneticPr fontId="2" type="noConversion"/>
  </si>
  <si>
    <t>12.4</t>
    <phoneticPr fontId="2" type="noConversion"/>
  </si>
  <si>
    <r>
      <t xml:space="preserve">You MUST verify the function of following blocks with X-model and confirm that there is no problem.
</t>
    </r>
    <r>
      <rPr>
        <sz val="10"/>
        <rFont val="맑은 고딕"/>
        <family val="3"/>
        <charset val="129"/>
        <scheme val="minor"/>
      </rPr>
      <t>. EOM/FOM
. Input offset calibration
. SSLMS for DFE
. CTLE adaptation</t>
    </r>
    <phoneticPr fontId="2" type="noConversion"/>
  </si>
  <si>
    <t>Current-aware model test cases 100% passing</t>
    <phoneticPr fontId="2" type="noConversion"/>
  </si>
  <si>
    <t>12.5</t>
    <phoneticPr fontId="2" type="noConversion"/>
  </si>
  <si>
    <r>
      <t xml:space="preserve">You MUST run the simulation for leakage current with current-aware model when powered-down. </t>
    </r>
    <r>
      <rPr>
        <sz val="10"/>
        <color rgb="FF000000"/>
        <rFont val="맑은 고딕"/>
        <family val="3"/>
        <charset val="129"/>
        <scheme val="minor"/>
      </rPr>
      <t>Especially, you MUST check if there is no problem in lowest power saving modes like L1.2 of PCIe and H8 of MPHY.</t>
    </r>
  </si>
  <si>
    <t>Asynchronous F/F list (tcheck off F/F list) reviewed and implemented</t>
    <phoneticPr fontId="2" type="noConversion"/>
  </si>
  <si>
    <t>12.6</t>
    <phoneticPr fontId="2" type="noConversion"/>
  </si>
  <si>
    <r>
      <rPr>
        <sz val="10"/>
        <color rgb="FFFF0000"/>
        <rFont val="맑은 고딕"/>
        <family val="3"/>
        <charset val="129"/>
        <scheme val="minor"/>
      </rPr>
      <t>The asynchronous flip-flop list should be described in the tcheck file by default.</t>
    </r>
    <r>
      <rPr>
        <sz val="10"/>
        <color theme="1"/>
        <rFont val="맑은 고딕"/>
        <family val="3"/>
        <charset val="129"/>
        <scheme val="minor"/>
      </rPr>
      <t xml:space="preserve"> Generally, tcheck includes the followings. If not described, the simulation may be broken due to x-propagation.
. 1st flip-flop of synchronizer
. Stable input into flip-flop, but violation occurs
. Other asynchronous conditions, which do not occur meta stable state.
[Example] 1. Asynchronous flip-flops should be described in tcheck file as below.(e.g. nocheck.v)
                          PATH top.u0_MPHY_TEST_TOP.I_CMN.u_term_tune.cmp_ff_reg -tcheck
                      2. Following command line option must be defined in verilog command line
                          : +nctfile+"./nocheck.v"</t>
    </r>
    <phoneticPr fontId="2" type="noConversion"/>
  </si>
  <si>
    <t>13. ATPG (TetraMax)</t>
    <phoneticPr fontId="2" type="noConversion"/>
  </si>
  <si>
    <t>Confirmed that test coverage should be at least 98%</t>
    <phoneticPr fontId="2" type="noConversion"/>
  </si>
  <si>
    <t>13.1</t>
    <phoneticPr fontId="2" type="noConversion"/>
  </si>
  <si>
    <t>Test coverage of stuck-at ATPG MUST be at least 98%.</t>
  </si>
  <si>
    <t>14. PSI Analysis 
(RedHawk)</t>
    <phoneticPr fontId="2" type="noConversion"/>
  </si>
  <si>
    <t>IR drop analysis report reviewed and clean</t>
    <phoneticPr fontId="2" type="noConversion"/>
  </si>
  <si>
    <t>14.1</t>
    <phoneticPr fontId="2" type="noConversion"/>
  </si>
  <si>
    <r>
      <rPr>
        <sz val="10"/>
        <color rgb="FFFF0000"/>
        <rFont val="맑은 고딕"/>
        <family val="3"/>
        <charset val="129"/>
        <scheme val="minor"/>
      </rPr>
      <t>You MUST cross-check the weakness of design with physical design team, and designer should refer to sign-off document for each process.</t>
    </r>
    <r>
      <rPr>
        <sz val="10"/>
        <color theme="1"/>
        <rFont val="맑은 고딕"/>
        <family val="3"/>
        <charset val="129"/>
        <scheme val="minor"/>
      </rPr>
      <t xml:space="preserve"> For each voltage corner, the worst static IR drop from bumps or pads to each instance MUST be lower than 3% * Vtyp.</t>
    </r>
    <phoneticPr fontId="2" type="noConversion"/>
  </si>
  <si>
    <t>Dynamic voltage drop(DvD) analysis report reviewed and clean</t>
    <phoneticPr fontId="2" type="noConversion"/>
  </si>
  <si>
    <t>14.2</t>
    <phoneticPr fontId="2" type="noConversion"/>
  </si>
  <si>
    <r>
      <rPr>
        <sz val="10"/>
        <color rgb="FFFF0000"/>
        <rFont val="맑은 고딕"/>
        <family val="3"/>
        <charset val="129"/>
        <scheme val="minor"/>
      </rPr>
      <t xml:space="preserve">You MUST cross-check the weakness of design with physical design team, and designer should refer to sign-off document for each process. </t>
    </r>
    <r>
      <rPr>
        <sz val="10"/>
        <color theme="1"/>
        <rFont val="맑은 고딕"/>
        <family val="3"/>
        <charset val="129"/>
        <scheme val="minor"/>
      </rPr>
      <t>For each voltage corner, the worst dynamic voltage drop from bumps or pads to each instance MUST be lower than the limits described in the sign-off document. Also, this analysis should be performed in function mode as well as scan mode.</t>
    </r>
    <phoneticPr fontId="2" type="noConversion"/>
  </si>
  <si>
    <t>Electromigration(EM) analysis report reviewed and clean</t>
    <phoneticPr fontId="2" type="noConversion"/>
  </si>
  <si>
    <t>14.3</t>
    <phoneticPr fontId="2" type="noConversion"/>
  </si>
  <si>
    <r>
      <rPr>
        <sz val="10"/>
        <rFont val="맑은 고딕"/>
        <family val="3"/>
        <charset val="129"/>
        <scheme val="minor"/>
      </rPr>
      <t xml:space="preserve">To guarantee the reliability of the product, it is necessary to check EM and to fix the violated ones for both power and signal nets. </t>
    </r>
    <r>
      <rPr>
        <sz val="10"/>
        <color rgb="FFFF0000"/>
        <rFont val="맑은 고딕"/>
        <family val="3"/>
        <charset val="129"/>
        <scheme val="minor"/>
      </rPr>
      <t>You MUST cross-check the weakness of design with physical design team, and designer should refer to sign-off document for each process.</t>
    </r>
    <r>
      <rPr>
        <sz val="10"/>
        <rFont val="맑은 고딕"/>
        <family val="3"/>
        <charset val="129"/>
        <scheme val="minor"/>
      </rPr>
      <t xml:space="preserve"> You MUST </t>
    </r>
    <r>
      <rPr>
        <sz val="10"/>
        <color theme="1"/>
        <rFont val="맑은 고딕"/>
        <family val="3"/>
        <charset val="129"/>
        <scheme val="minor"/>
      </rPr>
      <t>fix power and signal routing of design continuously until it eliminates all the EM violations.</t>
    </r>
    <phoneticPr fontId="2" type="noConversion"/>
  </si>
  <si>
    <t>15. Deliverables - 
Verilog Model</t>
    <phoneticPr fontId="2" type="noConversion"/>
  </si>
  <si>
    <t>Sub-block renamed with prefix(or postfix)</t>
    <phoneticPr fontId="2" type="noConversion"/>
  </si>
  <si>
    <t>15.1</t>
    <phoneticPr fontId="2" type="noConversion"/>
  </si>
  <si>
    <r>
      <t xml:space="preserve">In the SOC(or ASIC) top point of view, the same block(or primitive cell) name may have been used in other IPs, so </t>
    </r>
    <r>
      <rPr>
        <sz val="10"/>
        <color rgb="FFFF0000"/>
        <rFont val="맑은 고딕"/>
        <family val="3"/>
        <charset val="129"/>
        <scheme val="minor"/>
      </rPr>
      <t>you MUST add prefix to all sub-block name so that you can have a unique name.</t>
    </r>
    <r>
      <rPr>
        <sz val="10"/>
        <color theme="1"/>
        <rFont val="맑은 고딕"/>
        <family val="3"/>
        <charset val="129"/>
        <scheme val="minor"/>
      </rPr>
      <t xml:space="preserve"> </t>
    </r>
    <phoneticPr fontId="2" type="noConversion"/>
  </si>
  <si>
    <t>Timescale checked</t>
    <phoneticPr fontId="2" type="noConversion"/>
  </si>
  <si>
    <t>15.2</t>
    <phoneticPr fontId="2" type="noConversion"/>
  </si>
  <si>
    <r>
      <t xml:space="preserve">The malfunction may occur due to different timescales for each module, so please </t>
    </r>
    <r>
      <rPr>
        <sz val="10"/>
        <color rgb="FFFF0000"/>
        <rFont val="맑은 고딕"/>
        <family val="3"/>
        <charset val="129"/>
        <scheme val="minor"/>
      </rPr>
      <t>obtain analog verilog model from analog design team and check the timescale.</t>
    </r>
    <phoneticPr fontId="2" type="noConversion"/>
  </si>
  <si>
    <t>Power-aware checker implemented</t>
    <phoneticPr fontId="2" type="noConversion"/>
  </si>
  <si>
    <t>15.3</t>
    <phoneticPr fontId="2" type="noConversion"/>
  </si>
  <si>
    <r>
      <t xml:space="preserve">Depending on which power is turned on and off between VDDA(e.g. logic power 0.8v) and VDDH(e.g. logic power 1.8v) during PHY initialization, PHY operation can be affected. Therefore, </t>
    </r>
    <r>
      <rPr>
        <sz val="10"/>
        <color rgb="FFFF0000"/>
        <rFont val="맑은 고딕"/>
        <family val="3"/>
        <charset val="129"/>
        <scheme val="minor"/>
      </rPr>
      <t>the assertion checker(i.e. SVA) MUST be added so that the customer can automatically detect the power-up sequence that is contrary to the simulation.</t>
    </r>
    <r>
      <rPr>
        <sz val="10"/>
        <color theme="1"/>
        <rFont val="맑은 고딕"/>
        <family val="3"/>
        <charset val="129"/>
        <scheme val="minor"/>
      </rPr>
      <t xml:space="preserve">
[Example] - ifdef PA_ASSERTIONS</t>
    </r>
    <phoneticPr fontId="2" type="noConversion"/>
  </si>
  <si>
    <t>Initialization checker implemented</t>
    <phoneticPr fontId="2" type="noConversion"/>
  </si>
  <si>
    <t>15.4</t>
    <phoneticPr fontId="2" type="noConversion"/>
  </si>
  <si>
    <t>Ensure that the assertion checker(i.e. SVA) is inserted to check whether the sequence between the reset and APB programming is correct during PHY initialization. For example, in the input offset calibration, the operation starts when the CMN reset is de-asserted. If the CMN reset is not asserted during the initial APB programming, even if the CMN reset is toggled again after APB programming, the malfunction is caused.
[Example] - ifdef PCIE_PHY_CHECKER and ifdef DELAY_FOR_STOP</t>
  </si>
  <si>
    <t>Power-down and reset checker implemented</t>
    <phoneticPr fontId="2" type="noConversion"/>
  </si>
  <si>
    <t>15.5</t>
    <phoneticPr fontId="2" type="noConversion"/>
  </si>
  <si>
    <r>
      <t>When creating a vector for IDS/IDD current measurement,</t>
    </r>
    <r>
      <rPr>
        <sz val="10"/>
        <color rgb="FFFF0000"/>
        <rFont val="맑은 고딕"/>
        <family val="3"/>
        <charset val="129"/>
        <scheme val="minor"/>
      </rPr>
      <t xml:space="preserve"> insert the assertion checker(i.e. SVA) to verify whether the enable or reset signal for the analog block is deassert or asserted.</t>
    </r>
    <r>
      <rPr>
        <sz val="10"/>
        <color theme="1"/>
        <rFont val="맑은 고딕"/>
        <family val="3"/>
        <charset val="129"/>
        <scheme val="minor"/>
      </rPr>
      <t xml:space="preserve"> This is to reduce the ATE iteration time by checking the blocks that are not off in the powerdown mode at the simulation stage.</t>
    </r>
    <phoneticPr fontId="2" type="noConversion"/>
  </si>
  <si>
    <t>16. Deliverables - Library
(PrimeTime, MakeLib
(or Liberty Auto 
Generator))</t>
    <phoneticPr fontId="2" type="noConversion"/>
  </si>
  <si>
    <t>Library extracted with final netlist and SPEF</t>
    <phoneticPr fontId="2" type="noConversion"/>
  </si>
  <si>
    <t>16.1</t>
    <phoneticPr fontId="2" type="noConversion"/>
  </si>
  <si>
    <r>
      <t>Timing liberty can be used in place of the block's netlist for timing analysis at a hierer level of the design hierarchy and the extracted model is an abstraction of the block interface timing behavior using sequential and combination timing arcs. Before you generate a timing model,</t>
    </r>
    <r>
      <rPr>
        <sz val="10"/>
        <color rgb="FFFF0000"/>
        <rFont val="맑은 고딕"/>
        <family val="3"/>
        <charset val="129"/>
        <scheme val="minor"/>
      </rPr>
      <t xml:space="preserve"> ensure that final netlist contains no timing violations.</t>
    </r>
    <phoneticPr fontId="2" type="noConversion"/>
  </si>
  <si>
    <t>set_input_transition for all inputs implemented</t>
  </si>
  <si>
    <t>16.2</t>
    <phoneticPr fontId="2" type="noConversion"/>
  </si>
  <si>
    <r>
      <rPr>
        <sz val="10"/>
        <color rgb="FF000000"/>
        <rFont val="맑은 고딕"/>
        <family val="3"/>
        <charset val="129"/>
      </rPr>
      <t xml:space="preserve">In addition to constraints such as clocks, exceptions, and case values, </t>
    </r>
    <r>
      <rPr>
        <sz val="10"/>
        <color rgb="FFFF0000"/>
        <rFont val="맑은 고딕"/>
        <family val="3"/>
        <charset val="129"/>
      </rPr>
      <t xml:space="preserve">you should define data and clock signal arrival time ranges at the block inputs, data and clock signal transition ranges at the block inputs, </t>
    </r>
    <r>
      <rPr>
        <sz val="10"/>
        <color rgb="FF000000"/>
        <rFont val="맑은 고딕"/>
        <family val="3"/>
        <charset val="129"/>
      </rPr>
      <t xml:space="preserve">and the external load ranges at the block outputs.
Recommended I/O constraints for ETM extraction
</t>
    </r>
    <r>
      <rPr>
        <sz val="10"/>
        <color rgb="FFFF0000"/>
        <rFont val="맑은 고딕"/>
        <family val="3"/>
        <charset val="129"/>
      </rPr>
      <t>. Input transition time: min = 0.0 / max = 0.5 (e.g. set_input_transition 0.5 [all_inputs])
. Input delay: follow design budget</t>
    </r>
  </si>
  <si>
    <t>set_max_transition for all outputs implemented</t>
    <phoneticPr fontId="2" type="noConversion"/>
  </si>
  <si>
    <t>16.3</t>
    <phoneticPr fontId="2" type="noConversion"/>
  </si>
  <si>
    <r>
      <rPr>
        <sz val="10"/>
        <color rgb="FF000000"/>
        <rFont val="맑은 고딕"/>
        <family val="3"/>
        <charset val="129"/>
      </rPr>
      <t xml:space="preserve">In addition to constraints such as clocks, exceptions, and case values, </t>
    </r>
    <r>
      <rPr>
        <sz val="10"/>
        <color rgb="FFFF0000"/>
        <rFont val="맑은 고딕"/>
        <family val="3"/>
        <charset val="129"/>
      </rPr>
      <t>you should define</t>
    </r>
    <r>
      <rPr>
        <sz val="10"/>
        <color rgb="FF000000"/>
        <rFont val="맑은 고딕"/>
        <family val="3"/>
        <charset val="129"/>
      </rPr>
      <t xml:space="preserve"> data and clock signal arrival time ranges at the block inputs, data and clock signal transition ranges at the block inputs, </t>
    </r>
    <r>
      <rPr>
        <sz val="10"/>
        <color rgb="FFFF0000"/>
        <rFont val="맑은 고딕"/>
        <family val="3"/>
        <charset val="129"/>
      </rPr>
      <t xml:space="preserve">and the external load ranges at the block outputs.
</t>
    </r>
    <r>
      <rPr>
        <sz val="10"/>
        <color rgb="FF000000"/>
        <rFont val="맑은 고딕"/>
        <family val="3"/>
        <charset val="129"/>
      </rPr>
      <t>Recommended I/O constraints for ETM extraction
.</t>
    </r>
    <r>
      <rPr>
        <sz val="10"/>
        <color rgb="FFFF0000"/>
        <rFont val="맑은 고딕"/>
        <family val="3"/>
        <charset val="129"/>
      </rPr>
      <t xml:space="preserve"> Output max transition time: 0.5 (e.g. set_max_transition 0.5 [all_outputs])</t>
    </r>
  </si>
  <si>
    <t>set_max_capacitance for all outputs implemented</t>
    <phoneticPr fontId="2" type="noConversion"/>
  </si>
  <si>
    <t>16.4</t>
    <phoneticPr fontId="2" type="noConversion"/>
  </si>
  <si>
    <r>
      <rPr>
        <sz val="10"/>
        <color rgb="FF000000"/>
        <rFont val="맑은 고딕"/>
        <family val="3"/>
        <charset val="129"/>
      </rPr>
      <t xml:space="preserve">In addition to constraints such as clocks, exceptions, and case values, </t>
    </r>
    <r>
      <rPr>
        <sz val="10"/>
        <color rgb="FFFF0000"/>
        <rFont val="맑은 고딕"/>
        <family val="3"/>
        <charset val="129"/>
      </rPr>
      <t>you should define</t>
    </r>
    <r>
      <rPr>
        <sz val="10"/>
        <color rgb="FF000000"/>
        <rFont val="맑은 고딕"/>
        <family val="3"/>
        <charset val="129"/>
      </rPr>
      <t xml:space="preserve"> data and clock signal arrival time ranges at the block inputs, data and clock signal transition ranges at the block inputs, and </t>
    </r>
    <r>
      <rPr>
        <sz val="10"/>
        <color rgb="FFFF0000"/>
        <rFont val="맑은 고딕"/>
        <family val="3"/>
        <charset val="129"/>
      </rPr>
      <t xml:space="preserve">the external load ranges at the block outputs.
</t>
    </r>
    <r>
      <rPr>
        <sz val="10"/>
        <color rgb="FF000000"/>
        <rFont val="맑은 고딕"/>
        <family val="3"/>
        <charset val="129"/>
      </rPr>
      <t xml:space="preserve">Recommended I/O constraints for ETM extraction
</t>
    </r>
    <r>
      <rPr>
        <sz val="10"/>
        <color rgb="FFFF0000"/>
        <rFont val="맑은 고딕"/>
        <family val="3"/>
        <charset val="129"/>
      </rPr>
      <t xml:space="preserve">. Output max capacitance: (all outputs)max = 0.1, (PAD): max = 64 
</t>
    </r>
    <r>
      <rPr>
        <sz val="10"/>
        <color rgb="FF000000"/>
        <rFont val="맑은 고딕"/>
        <family val="3"/>
        <charset val="129"/>
      </rPr>
      <t xml:space="preserve">  (e.g. set_max_capacitance 0.1 [all_outputs], set_max_capacitance 64 [get_ports $PAD_NAME])
- The default value is 0.1 pf. If the internal cap is large, the default value is adjusted.  The CAP value of analog pads (DP, DN, and ATB) MUST be large enough to eliminate unnecessary violations. </t>
    </r>
  </si>
  <si>
    <t>Pins with zero capacitance checked</t>
    <phoneticPr fontId="2" type="noConversion"/>
  </si>
  <si>
    <t>16.5</t>
    <phoneticPr fontId="2" type="noConversion"/>
  </si>
  <si>
    <r>
      <rPr>
        <sz val="10"/>
        <color rgb="FFFF0000"/>
        <rFont val="맑은 고딕"/>
        <family val="3"/>
        <charset val="129"/>
        <scheme val="minor"/>
      </rPr>
      <t>Check whether there is a pin which has an unintended zero capacitance.</t>
    </r>
    <r>
      <rPr>
        <sz val="10"/>
        <color theme="1"/>
        <rFont val="맑은 고딕"/>
        <family val="3"/>
        <charset val="129"/>
        <scheme val="minor"/>
      </rPr>
      <t xml:space="preserve">
- [Makelib]  Check the file, 8_Report/64_fixed_cap_list.*.rpt file.</t>
    </r>
    <phoneticPr fontId="2" type="noConversion"/>
  </si>
  <si>
    <t>All clock pins defined and reviewed</t>
  </si>
  <si>
    <t>16.6</t>
    <phoneticPr fontId="2" type="noConversion"/>
  </si>
  <si>
    <r>
      <rPr>
        <sz val="10"/>
        <color rgb="FFFF0000"/>
        <rFont val="맑은 고딕"/>
        <family val="3"/>
        <charset val="129"/>
        <scheme val="minor"/>
      </rPr>
      <t>Make sure that all clock pins are defined.</t>
    </r>
    <r>
      <rPr>
        <sz val="10"/>
        <color theme="1"/>
        <rFont val="맑은 고딕"/>
        <family val="3"/>
        <charset val="129"/>
        <scheme val="minor"/>
      </rPr>
      <t xml:space="preserve">
- [Makelib] Check the files, 8_Report/9_ parse_final_lib.$lib _ file.rpt &amp; final.lib file. If necessary, check the file, 0_parse_raw_lib.$lib_file.rpt.</t>
    </r>
    <phoneticPr fontId="2" type="noConversion"/>
  </si>
  <si>
    <t>All PAD pins defined and reviewed</t>
    <phoneticPr fontId="2" type="noConversion"/>
  </si>
  <si>
    <t>16.7</t>
    <phoneticPr fontId="2" type="noConversion"/>
  </si>
  <si>
    <r>
      <rPr>
        <sz val="10"/>
        <color rgb="FFFF0000"/>
        <rFont val="맑은 고딕"/>
        <family val="2"/>
        <charset val="129"/>
      </rPr>
      <t xml:space="preserve">Make sure that all PAD pins are defined.
</t>
    </r>
    <r>
      <rPr>
        <sz val="10"/>
        <color rgb="FF000000"/>
        <rFont val="맑은 고딕"/>
        <family val="2"/>
        <charset val="129"/>
      </rPr>
      <t>- [Makelib] Check the files, 8_Report/9_ parse_final_lib.$lib _ file.rpt &amp; final.lib file. If necessary, check the file, 0_parse_raw_lib.$lib_file.rpt.</t>
    </r>
  </si>
  <si>
    <t>no_timing arc pin list reviewed</t>
  </si>
  <si>
    <t>16.8</t>
    <phoneticPr fontId="2" type="noConversion"/>
  </si>
  <si>
    <t>Verify that no_timing arc list is correct.</t>
  </si>
  <si>
    <t>related_pin and timing arc of signals checked</t>
    <phoneticPr fontId="2" type="noConversion"/>
  </si>
  <si>
    <t>16.9</t>
    <phoneticPr fontId="2" type="noConversion"/>
  </si>
  <si>
    <r>
      <rPr>
        <sz val="10"/>
        <color rgb="FFFF0000"/>
        <rFont val="맑은 고딕"/>
        <family val="3"/>
        <charset val="129"/>
        <scheme val="minor"/>
      </rPr>
      <t>Check whether the relation between related_pin and timing is defined correctly.</t>
    </r>
    <r>
      <rPr>
        <sz val="10"/>
        <color theme="1"/>
        <rFont val="맑은 고딕"/>
        <family val="3"/>
        <charset val="129"/>
        <scheme val="minor"/>
      </rPr>
      <t xml:space="preserve">
- [Makelib] Check the files, 8_Report/9_ parse_final_lib.$lib _ file.rpt &amp; final.lib file. If necessary, check the file, 0_parse_raw_lib.$lib_file.rpt.</t>
    </r>
    <phoneticPr fontId="2" type="noConversion"/>
  </si>
  <si>
    <t>Internal clock transition checked</t>
    <phoneticPr fontId="2" type="noConversion"/>
  </si>
  <si>
    <t>16.10</t>
    <phoneticPr fontId="2" type="noConversion"/>
  </si>
  <si>
    <r>
      <rPr>
        <sz val="10"/>
        <color rgb="FFFF0000"/>
        <rFont val="맑은 고딕"/>
        <family val="2"/>
        <charset val="129"/>
      </rPr>
      <t xml:space="preserve">Make sure that transition for internal clock is defined.
</t>
    </r>
    <r>
      <rPr>
        <sz val="10"/>
        <color rgb="FF000000"/>
        <rFont val="맑은 고딕"/>
        <family val="2"/>
        <charset val="129"/>
      </rPr>
      <t>- [Makelib] Check the files, 8_Report/9_ parse_final_lib.$lib _ file.rpt &amp; final.lib file. If necessary, check the file, 0_parse_raw_lib.$lib_file.rpt.</t>
    </r>
  </si>
  <si>
    <t>Real capicitance value for all pins checked</t>
  </si>
  <si>
    <t>16.11</t>
    <phoneticPr fontId="2" type="noConversion"/>
  </si>
  <si>
    <r>
      <rPr>
        <sz val="10"/>
        <color rgb="FF000000"/>
        <rFont val="맑은 고딕"/>
        <family val="2"/>
        <charset val="129"/>
      </rPr>
      <t xml:space="preserve">In order to accurately describe the liberty, the RC values from the actual GDS MUST be described in the file.
For this, there is a flow that reflects real capacity in the middle of creating a liberty. For example, if the input of A is described but the cap of the signal is too small, the buffer drive voltage of the path connected to this signal may be used very weakly, so the transition time of the signal may increase. </t>
    </r>
    <r>
      <rPr>
        <sz val="10"/>
        <color rgb="FFFF0000"/>
        <rFont val="맑은 고딕"/>
        <family val="2"/>
        <charset val="129"/>
      </rPr>
      <t xml:space="preserve">Therefore, it is necessary to extract the correct capacity for the signal from the GDS of the entire PHY and apply it to the liberty generation flow.
</t>
    </r>
    <r>
      <rPr>
        <sz val="10"/>
        <color rgb="FF000000"/>
        <rFont val="맑은 고딕"/>
        <family val="2"/>
        <charset val="129"/>
      </rPr>
      <t>- [Makelib] Check the files, 8_Report/64_fixed_cap_list.*.rpt</t>
    </r>
  </si>
  <si>
    <r>
      <rPr>
        <i/>
        <sz val="11"/>
        <color theme="1"/>
        <rFont val="Calibri"/>
        <family val="2"/>
      </rPr>
      <t xml:space="preserve">[for SEC_LIB only] </t>
    </r>
    <r>
      <rPr>
        <sz val="11"/>
        <color theme="1"/>
        <rFont val="Calibri"/>
        <family val="2"/>
      </rPr>
      <t>No errors in Cubicware log</t>
    </r>
    <phoneticPr fontId="2" type="noConversion"/>
  </si>
  <si>
    <t>16.12</t>
    <phoneticPr fontId="2" type="noConversion"/>
  </si>
  <si>
    <r>
      <rPr>
        <sz val="10"/>
        <color rgb="FFFF0000"/>
        <rFont val="맑은 고딕"/>
        <family val="3"/>
        <charset val="129"/>
        <scheme val="minor"/>
      </rPr>
      <t>Error MUST be cleared.</t>
    </r>
    <r>
      <rPr>
        <sz val="10"/>
        <color theme="1"/>
        <rFont val="맑은 고딕"/>
        <family val="3"/>
        <charset val="129"/>
        <scheme val="minor"/>
      </rPr>
      <t xml:space="preserve">
- [Makelib] Check the files, 8_Report/4_run_cubic.*.cubic_log/cubic_error</t>
    </r>
    <phoneticPr fontId="2" type="noConversion"/>
  </si>
  <si>
    <t>No errors in Library-Compiler(or Design-Compiler) log</t>
    <phoneticPr fontId="2" type="noConversion"/>
  </si>
  <si>
    <t>16.13</t>
    <phoneticPr fontId="2" type="noConversion"/>
  </si>
  <si>
    <r>
      <rPr>
        <sz val="10"/>
        <color rgb="FFFF0000"/>
        <rFont val="맑은 고딕"/>
        <family val="3"/>
        <charset val="129"/>
        <scheme val="minor"/>
      </rPr>
      <t>Error MUST be cleared.</t>
    </r>
    <r>
      <rPr>
        <sz val="10"/>
        <color theme="1"/>
        <rFont val="맑은 고딕"/>
        <family val="3"/>
        <charset val="129"/>
        <scheme val="minor"/>
      </rPr>
      <t xml:space="preserve">
- [Makelib] Check the files, 8_Report/8_make_db.log</t>
    </r>
    <phoneticPr fontId="2" type="noConversion"/>
  </si>
  <si>
    <t>SEC lib with correct naming convention</t>
    <phoneticPr fontId="2" type="noConversion"/>
  </si>
  <si>
    <t>16.14</t>
    <phoneticPr fontId="2" type="noConversion"/>
  </si>
  <si>
    <t>-  28nm and 14nm
 ; $TOP_CELL_NAME_$Library_family_$Process_$Voltage_$Temperature(_$Capacitance)
 [Example] HSI_DPHY_M4S4_TOP_ss20lpe_ff_1p050v_125c_cmax.lib
- 10nm or later
 ; Refer to linked material</t>
    <phoneticPr fontId="2" type="noConversion"/>
  </si>
  <si>
    <t>Output clock defined from source clock(i.e. internal clock)</t>
    <phoneticPr fontId="2" type="noConversion"/>
  </si>
  <si>
    <t>16.15</t>
    <phoneticPr fontId="2" type="noConversion"/>
  </si>
  <si>
    <t>Verify that all output clocks have internal source clock as related clock.</t>
    <phoneticPr fontId="2" type="noConversion"/>
  </si>
  <si>
    <t>Top name, area, width and height matched with LEF</t>
    <phoneticPr fontId="2" type="noConversion"/>
  </si>
  <si>
    <t>16.16</t>
    <phoneticPr fontId="2" type="noConversion"/>
  </si>
  <si>
    <t xml:space="preserve">Top cell name, area, width and height decribed in liberty MUST be matched ones of LEF. </t>
    <phoneticPr fontId="2" type="noConversion"/>
  </si>
  <si>
    <t>pg_pin and related_power/ground_pin checked with analog design team</t>
    <phoneticPr fontId="2" type="noConversion"/>
  </si>
  <si>
    <t>16.17</t>
    <phoneticPr fontId="2" type="noConversion"/>
  </si>
  <si>
    <r>
      <rPr>
        <sz val="10"/>
        <color rgb="FF000000"/>
        <rFont val="맑은 고딕"/>
        <family val="3"/>
        <charset val="129"/>
        <scheme val="minor"/>
      </rPr>
      <t xml:space="preserve">The liberty file has pin attributes, related_power_pin and related_ground_pin, to let the tools know how to connect tie signals to proper power and ground nets. </t>
    </r>
    <r>
      <rPr>
        <sz val="10"/>
        <color rgb="FFFF0000"/>
        <rFont val="맑은 고딕"/>
        <family val="3"/>
        <charset val="129"/>
        <scheme val="minor"/>
      </rPr>
      <t>Check if all pins are defined with correct related_power_pin and related_ground_pin.</t>
    </r>
  </si>
  <si>
    <t>lib_checker's result checked</t>
    <phoneticPr fontId="2" type="noConversion"/>
  </si>
  <si>
    <t>16.18</t>
    <phoneticPr fontId="2" type="noConversion"/>
  </si>
  <si>
    <r>
      <rPr>
        <sz val="10"/>
        <color rgb="FFFF0000"/>
        <rFont val="맑은 고딕"/>
        <family val="3"/>
        <charset val="129"/>
        <scheme val="minor"/>
      </rPr>
      <t>Verify all results of LIB checker with physical implemetation team.</t>
    </r>
    <r>
      <rPr>
        <sz val="10"/>
        <color theme="1"/>
        <rFont val="맑은 고딕"/>
        <family val="3"/>
        <charset val="129"/>
        <scheme val="minor"/>
      </rPr>
      <t xml:space="preserve">
. Clock: pin name, clock source, timing table, internal clock
. IO: pin name, clock source, timing table, direction
. ETC: is_macro_cell flag</t>
    </r>
    <phoneticPr fontId="2" type="noConversion"/>
  </si>
  <si>
    <t>17. Deliverables - 
Vector(WGL)</t>
    <phoneticPr fontId="2" type="noConversion"/>
  </si>
  <si>
    <t>Vectors are generated using vector generation script(i.e. vector_gen.py)</t>
    <phoneticPr fontId="2" type="noConversion"/>
  </si>
  <si>
    <t>17.1</t>
    <phoneticPr fontId="2" type="noConversion"/>
  </si>
  <si>
    <t>Vectors(i.e. WGL) MUST be generated using following vector generation scripts:
. vector_gen.py and checker_gen.py</t>
  </si>
  <si>
    <t>SFR value reviewed with analog design team</t>
    <phoneticPr fontId="2" type="noConversion"/>
  </si>
  <si>
    <t>17.2</t>
    <phoneticPr fontId="2" type="noConversion"/>
  </si>
  <si>
    <r>
      <rPr>
        <sz val="10"/>
        <color rgb="FF000000"/>
        <rFont val="맑은 고딕"/>
        <family val="2"/>
        <charset val="129"/>
      </rPr>
      <t xml:space="preserve">If the final SFR value is not reflected on test vectors, this causes unnecessary iteration in the ATE test. </t>
    </r>
    <r>
      <rPr>
        <sz val="10"/>
        <color rgb="FFFF0000"/>
        <rFont val="맑은 고딕"/>
        <family val="2"/>
        <charset val="129"/>
      </rPr>
      <t>During WGL generation, make sure that the final SFR value is finally confirmed by the analog design team.</t>
    </r>
  </si>
  <si>
    <t>All wave dumps reviewed with analog design team</t>
  </si>
  <si>
    <t>17.3</t>
    <phoneticPr fontId="2" type="noConversion"/>
  </si>
  <si>
    <t>Before creating vectors, you MUST review the test sequence through the wave dumps, and check if each test sequence is correct.</t>
  </si>
  <si>
    <t>All WGL scenarios generated</t>
  </si>
  <si>
    <t>17.4</t>
    <phoneticPr fontId="2" type="noConversion"/>
  </si>
  <si>
    <r>
      <rPr>
        <sz val="10"/>
        <color rgb="FFFF0000"/>
        <rFont val="맑은 고딕"/>
        <family val="3"/>
        <charset val="129"/>
        <scheme val="minor"/>
      </rPr>
      <t>Basically, it is necessary to check the test list once more and check if there are any test cases that have not been delivered to customer.</t>
    </r>
    <r>
      <rPr>
        <sz val="10"/>
        <color theme="1"/>
        <rFont val="맑은 고딕"/>
        <family val="3"/>
        <charset val="129"/>
        <scheme val="minor"/>
      </rPr>
      <t xml:space="preserve"> Missing test cases may eventually fail to filter-out errors in test mode integrations from SOC(or ASIC). If there is a product that does not go through advanced MPW, it is necessary to discuss enough scenarios with analog design team, review simulation and check SFR setting.</t>
    </r>
    <phoneticPr fontId="2" type="noConversion"/>
  </si>
  <si>
    <t>All test cases simulated with back-annotation</t>
  </si>
  <si>
    <t>17.5</t>
    <phoneticPr fontId="2" type="noConversion"/>
  </si>
  <si>
    <r>
      <t xml:space="preserve">VTRAN translates ATE test program to verification testbenches. So, </t>
    </r>
    <r>
      <rPr>
        <sz val="10"/>
        <color rgb="FFFF0000"/>
        <rFont val="맑은 고딕"/>
        <family val="3"/>
        <charset val="129"/>
        <scheme val="minor"/>
      </rPr>
      <t xml:space="preserve">you MUST run the simulation with the testbench and verify the test vector thru re-simulation.
</t>
    </r>
    <r>
      <rPr>
        <sz val="10"/>
        <rFont val="맑은 고딕"/>
        <family val="3"/>
        <charset val="129"/>
        <scheme val="minor"/>
      </rPr>
      <t>[Note] Linked material is just a reference, not for sign-off.</t>
    </r>
    <phoneticPr fontId="2" type="noConversion"/>
  </si>
  <si>
    <t>Floating input checked</t>
    <phoneticPr fontId="2" type="noConversion"/>
  </si>
  <si>
    <t>17.6</t>
    <phoneticPr fontId="2" type="noConversion"/>
  </si>
  <si>
    <r>
      <rPr>
        <sz val="10"/>
        <color rgb="FFFF0000"/>
        <rFont val="맑은 고딕"/>
        <family val="3"/>
        <charset val="129"/>
        <scheme val="minor"/>
      </rPr>
      <t>All input test pins or clock pins that are not used for each IP MUST be fixed to LOW or HIGH</t>
    </r>
    <r>
      <rPr>
        <sz val="10"/>
        <color theme="1"/>
        <rFont val="맑은 고딕"/>
        <family val="3"/>
        <charset val="129"/>
        <scheme val="minor"/>
      </rPr>
      <t>, so leakage current generated by input floating should be prevented.</t>
    </r>
    <phoneticPr fontId="2" type="noConversion"/>
  </si>
  <si>
    <t>18. Deliverables - IP-XACT</t>
    <phoneticPr fontId="2" type="noConversion"/>
  </si>
  <si>
    <t>Auto-mapped BUS(IO) interface checked</t>
    <phoneticPr fontId="2" type="noConversion"/>
  </si>
  <si>
    <t>18.1</t>
    <phoneticPr fontId="2" type="noConversion"/>
  </si>
  <si>
    <r>
      <t xml:space="preserve">IP-XACT based connection review of PCS and PMA. </t>
    </r>
    <r>
      <rPr>
        <sz val="10"/>
        <color rgb="FFFF0000"/>
        <rFont val="맑은 고딕"/>
        <family val="3"/>
        <charset val="129"/>
        <scheme val="minor"/>
      </rPr>
      <t>If the blocks are automatically mapped according to the automatic BUS interface definition, they may be misconnected, so cross-check them with PCS design team.</t>
    </r>
    <phoneticPr fontId="2" type="noConversion"/>
  </si>
  <si>
    <t>19. Deliverables - 
JTAG wrapper</t>
    <phoneticPr fontId="2" type="noConversion"/>
  </si>
  <si>
    <t>All test cases simulated with back-annotation</t>
    <phoneticPr fontId="2" type="noConversion"/>
  </si>
  <si>
    <t>19.1</t>
    <phoneticPr fontId="2" type="noConversion"/>
  </si>
  <si>
    <t>All test cases MUST be verified with JTAG wrapper to confirm signal flow in JTAG test mode.</t>
    <phoneticPr fontId="2" type="noConversion"/>
  </si>
  <si>
    <t>20. Deliverables -
Datasheet and Testplan</t>
    <phoneticPr fontId="2" type="noConversion"/>
  </si>
  <si>
    <t>STA guide reviewed and described correctly</t>
    <phoneticPr fontId="2" type="noConversion"/>
  </si>
  <si>
    <t>20.1</t>
    <phoneticPr fontId="2" type="noConversion"/>
  </si>
  <si>
    <t xml:space="preserve">STA guide for all IP's clocks should be described in user guide(or data sheet) and you MUST check the timing relationship especially between internal clock and output clocks. </t>
    <phoneticPr fontId="2" type="noConversion"/>
  </si>
  <si>
    <t>Test guide reviewed and described correctly</t>
    <phoneticPr fontId="2" type="noConversion"/>
  </si>
  <si>
    <t>20.2</t>
    <phoneticPr fontId="2" type="noConversion"/>
  </si>
  <si>
    <r>
      <rPr>
        <sz val="10"/>
        <color rgb="FFFF0000"/>
        <rFont val="맑은 고딕"/>
        <family val="3"/>
        <charset val="129"/>
        <scheme val="minor"/>
      </rPr>
      <t xml:space="preserve">Integration guide for test mode should be described in user guide(or data sheet) </t>
    </r>
    <r>
      <rPr>
        <sz val="10"/>
        <color theme="1"/>
        <rFont val="맑은 고딕"/>
        <family val="3"/>
        <charset val="129"/>
        <scheme val="minor"/>
      </rPr>
      <t>and following test modes MUST be included:
. ATE
. SCAN
. HTOL
. Vacation Mode(DVS)</t>
    </r>
    <phoneticPr fontId="2" type="noConversion"/>
  </si>
  <si>
    <t>Power-up(initialization) sequence reviewed with analog design team</t>
    <phoneticPr fontId="2" type="noConversion"/>
  </si>
  <si>
    <t>20.3</t>
    <phoneticPr fontId="2" type="noConversion"/>
  </si>
  <si>
    <r>
      <rPr>
        <sz val="10"/>
        <color rgb="FFFF0000"/>
        <rFont val="맑은 고딕"/>
        <family val="3"/>
        <charset val="129"/>
        <scheme val="minor"/>
      </rPr>
      <t xml:space="preserve">Make sure initialization sequence is described in data sheet </t>
    </r>
    <r>
      <rPr>
        <sz val="10"/>
        <color theme="1"/>
        <rFont val="맑은 고딕"/>
        <family val="3"/>
        <charset val="129"/>
        <scheme val="minor"/>
      </rPr>
      <t>and you should check carefully all sequence including power-up.</t>
    </r>
    <phoneticPr fontId="2" type="noConversion"/>
  </si>
  <si>
    <t>Maximum APB clock frequency reviewed and described correctly</t>
    <phoneticPr fontId="2" type="noConversion"/>
  </si>
  <si>
    <t>20.4</t>
    <phoneticPr fontId="2" type="noConversion"/>
  </si>
  <si>
    <t>The confirmed maximum APB clock frequency MUST be specified in data sheet.</t>
    <phoneticPr fontId="2" type="noConversion"/>
  </si>
  <si>
    <t>21. Metal Revision</t>
    <phoneticPr fontId="2" type="noConversion"/>
  </si>
  <si>
    <t>Regression with CR and 100% passing</t>
    <phoneticPr fontId="2" type="noConversion"/>
  </si>
  <si>
    <t>21.1</t>
    <phoneticPr fontId="2" type="noConversion"/>
  </si>
  <si>
    <t>If there is a RTL fix after Final-DV, you MUST issue a change request(CR) to check if there is no side effect and request DV regression again to design verification team.</t>
    <phoneticPr fontId="2" type="noConversion"/>
  </si>
  <si>
    <t>ATPG re-run and scan vector regenerated</t>
    <phoneticPr fontId="2" type="noConversion"/>
  </si>
  <si>
    <t>21.2</t>
    <phoneticPr fontId="2" type="noConversion"/>
  </si>
  <si>
    <t>If netlist is changed after ATPG, you MUST run ATPG again with the updated netlist and release new scan vector.</t>
    <phoneticPr fontId="2" type="noConversion"/>
  </si>
  <si>
    <t>미진행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</si>
</sst>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quot;₩&quot;* #,##0_-;_-&quot;₩&quot;* &quot;-&quot;_-;_-@_-"/>
  </numFmts>
  <fonts count="43">
    <font>
      <sz val="12"/>
      <color theme="1"/>
      <name val="맑은 고딕"/>
      <family val="2"/>
      <charset val="129"/>
      <scheme val="minor"/>
    </font>
    <font>
      <sz val="11"/>
      <color theme="1"/>
      <name val="맑은 고딕"/>
      <family val="2"/>
      <charset val="129"/>
      <scheme val="minor"/>
    </font>
    <font>
      <sz val="8"/>
      <name val="맑은 고딕"/>
      <family val="2"/>
      <charset val="129"/>
      <scheme val="minor"/>
    </font>
    <font>
      <sz val="8"/>
      <name val="돋움"/>
      <family val="3"/>
      <charset val="129"/>
    </font>
    <font>
      <b/>
      <sz val="11"/>
      <color theme="0"/>
      <name val="맑은 고딕"/>
      <family val="3"/>
      <charset val="129"/>
      <scheme val="minor"/>
    </font>
    <font>
      <sz val="11"/>
      <name val="맑은 고딕"/>
      <family val="3"/>
      <charset val="129"/>
      <scheme val="minor"/>
    </font>
    <font>
      <sz val="12"/>
      <color theme="1"/>
      <name val="맑은 고딕"/>
      <family val="2"/>
      <charset val="129"/>
      <scheme val="minor"/>
    </font>
    <font>
      <sz val="12"/>
      <color theme="1"/>
      <name val="맑은 고딕"/>
      <family val="3"/>
      <charset val="129"/>
      <scheme val="minor"/>
    </font>
    <font>
      <b/>
      <sz val="12"/>
      <color theme="1"/>
      <name val="맑은 고딕"/>
      <family val="3"/>
      <charset val="129"/>
      <scheme val="minor"/>
    </font>
    <font>
      <b/>
      <sz val="12"/>
      <name val="맑은 고딕"/>
      <family val="3"/>
      <charset val="129"/>
      <scheme val="minor"/>
    </font>
    <font>
      <b/>
      <sz val="12"/>
      <color theme="0"/>
      <name val="맑은 고딕"/>
      <family val="3"/>
      <charset val="129"/>
      <scheme val="minor"/>
    </font>
    <font>
      <sz val="10"/>
      <color theme="1"/>
      <name val="맑은 고딕"/>
      <family val="3"/>
      <charset val="129"/>
      <scheme val="minor"/>
    </font>
    <font>
      <b/>
      <sz val="10"/>
      <color theme="1"/>
      <name val="맑은 고딕"/>
      <family val="3"/>
      <charset val="129"/>
      <scheme val="minor"/>
    </font>
    <font>
      <b/>
      <sz val="10"/>
      <name val="맑은 고딕"/>
      <family val="3"/>
      <charset val="129"/>
      <scheme val="minor"/>
    </font>
    <font>
      <sz val="10"/>
      <name val="맑은 고딕"/>
      <family val="3"/>
      <charset val="129"/>
      <scheme val="minor"/>
    </font>
    <font>
      <sz val="12"/>
      <name val="맑은 고딕"/>
      <family val="3"/>
      <charset val="129"/>
      <scheme val="minor"/>
    </font>
    <font>
      <b/>
      <sz val="30"/>
      <color theme="1"/>
      <name val="맑은 고딕"/>
      <family val="3"/>
      <charset val="129"/>
      <scheme val="minor"/>
    </font>
    <font>
      <b/>
      <sz val="10"/>
      <color theme="1"/>
      <name val="맑은 고딕"/>
      <family val="3"/>
      <charset val="129"/>
      <scheme val="major"/>
    </font>
    <font>
      <b/>
      <sz val="12"/>
      <color rgb="FF0000CC"/>
      <name val="맑은 고딕"/>
      <family val="3"/>
      <charset val="129"/>
      <scheme val="minor"/>
    </font>
    <font>
      <sz val="10"/>
      <color rgb="FFFF0000"/>
      <name val="맑은 고딕"/>
      <family val="3"/>
      <charset val="129"/>
      <scheme val="minor"/>
    </font>
    <font>
      <sz val="11"/>
      <name val="돋움"/>
      <family val="3"/>
      <charset val="129"/>
    </font>
    <font>
      <sz val="11"/>
      <color theme="1"/>
      <name val="맑은 고딕"/>
      <family val="3"/>
      <charset val="129"/>
      <scheme val="minor"/>
    </font>
    <font>
      <u/>
      <sz val="9.35"/>
      <color theme="10"/>
      <name val="돋움"/>
      <family val="3"/>
      <charset val="129"/>
    </font>
    <font>
      <u/>
      <sz val="11"/>
      <color theme="10"/>
      <name val="맑은 고딕"/>
      <family val="3"/>
      <charset val="129"/>
    </font>
    <font>
      <sz val="10"/>
      <color rgb="FF000000"/>
      <name val="맑은 고딕"/>
      <family val="3"/>
      <charset val="129"/>
      <scheme val="minor"/>
    </font>
    <font>
      <b/>
      <sz val="18"/>
      <color theme="1"/>
      <name val="Calibri"/>
      <family val="2"/>
    </font>
    <font>
      <sz val="11"/>
      <color theme="1"/>
      <name val="Calibri"/>
      <family val="2"/>
    </font>
    <font>
      <b/>
      <sz val="11"/>
      <color theme="0"/>
      <name val="Calibri"/>
      <family val="2"/>
    </font>
    <font>
      <sz val="11"/>
      <color theme="0"/>
      <name val="Calibri"/>
      <family val="2"/>
    </font>
    <font>
      <sz val="11"/>
      <color theme="1"/>
      <name val="맑은 고딕"/>
      <family val="3"/>
      <charset val="129"/>
    </font>
    <font>
      <i/>
      <sz val="11"/>
      <color theme="1"/>
      <name val="Calibri"/>
      <family val="2"/>
    </font>
    <font>
      <sz val="10"/>
      <color rgb="FF0000FF"/>
      <name val="맑은 고딕"/>
      <family val="3"/>
      <charset val="129"/>
      <scheme val="minor"/>
    </font>
    <font>
      <b/>
      <i/>
      <sz val="10"/>
      <color rgb="FF0066FF"/>
      <name val="맑은 고딕"/>
      <family val="3"/>
      <charset val="129"/>
      <scheme val="minor"/>
    </font>
    <font>
      <sz val="10"/>
      <color rgb="FF000000"/>
      <name val="맑은 고딕"/>
      <family val="2"/>
      <charset val="129"/>
    </font>
    <font>
      <sz val="10"/>
      <color rgb="FFFF0000"/>
      <name val="맑은 고딕"/>
      <family val="2"/>
      <charset val="129"/>
    </font>
    <font>
      <sz val="10"/>
      <color theme="1"/>
      <name val="맑은 고딕"/>
      <family val="2"/>
      <charset val="129"/>
    </font>
    <font>
      <sz val="10"/>
      <color theme="1"/>
      <name val="맑은 고딕"/>
      <family val="2"/>
      <charset val="129"/>
      <scheme val="minor"/>
    </font>
    <font>
      <sz val="10"/>
      <name val="맑은 고딕"/>
      <family val="2"/>
      <charset val="129"/>
      <scheme val="minor"/>
    </font>
    <font>
      <sz val="10"/>
      <color rgb="FF0000FF"/>
      <name val="맑은 고딕"/>
      <family val="2"/>
      <charset val="129"/>
    </font>
    <font>
      <u/>
      <sz val="12"/>
      <color theme="10"/>
      <name val="맑은 고딕"/>
      <family val="2"/>
      <charset val="129"/>
      <scheme val="minor"/>
    </font>
    <font>
      <sz val="10"/>
      <color rgb="FF000000"/>
      <name val="맑은 고딕"/>
      <family val="3"/>
      <charset val="129"/>
    </font>
    <font>
      <sz val="10"/>
      <color rgb="FFFF0000"/>
      <name val="맑은 고딕"/>
      <family val="3"/>
      <charset val="129"/>
    </font>
    <font>
      <sz val="10"/>
      <color theme="1"/>
      <name val="맑은 고딕"/>
      <family val="3"/>
      <charset val="129"/>
    </font>
  </fonts>
  <fills count="19">
    <fill>
      <patternFill patternType="none"/>
    </fill>
    <fill>
      <patternFill patternType="gray125"/>
    </fill>
    <fill>
      <patternFill patternType="solid">
        <fgColor theme="1" tint="0.14999847407452621"/>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rgb="FF92CDDC"/>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1" tint="0.34998626667073579"/>
        <bgColor indexed="64"/>
      </patternFill>
    </fill>
    <fill>
      <patternFill patternType="solid">
        <fgColor rgb="FFA5A5A5"/>
      </patternFill>
    </fill>
    <fill>
      <patternFill patternType="solid">
        <fgColor rgb="FF92D050"/>
        <bgColor indexed="64"/>
      </patternFill>
    </fill>
    <fill>
      <patternFill patternType="solid">
        <fgColor rgb="FF0066FF"/>
        <bgColor indexed="64"/>
      </patternFill>
    </fill>
    <fill>
      <patternFill patternType="solid">
        <fgColor rgb="FFFF66CC"/>
        <bgColor indexed="64"/>
      </patternFill>
    </fill>
    <fill>
      <patternFill patternType="solid">
        <fgColor theme="0" tint="-0.499984740745262"/>
        <bgColor indexed="64"/>
      </patternFill>
    </fill>
    <fill>
      <patternFill patternType="solid">
        <fgColor rgb="FFFFCCFF"/>
        <bgColor indexed="64"/>
      </patternFill>
    </fill>
    <fill>
      <patternFill patternType="solid">
        <fgColor theme="7" tint="0.79998168889431442"/>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theme="0" tint="-0.14996795556505021"/>
      </right>
      <top style="thin">
        <color indexed="64"/>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22">
    <xf numFmtId="0" fontId="0" fillId="0" borderId="0">
      <alignment vertical="center"/>
    </xf>
    <xf numFmtId="42" fontId="6" fillId="0" borderId="0" applyFon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xf numFmtId="0" fontId="22" fillId="0" borderId="0" applyNumberFormat="0" applyFill="0" applyBorder="0" applyAlignment="0" applyProtection="0">
      <alignment vertical="top"/>
      <protection locked="0"/>
    </xf>
    <xf numFmtId="9" fontId="20" fillId="0" borderId="0" applyFont="0" applyFill="0" applyBorder="0" applyAlignment="0" applyProtection="0">
      <alignment vertical="center"/>
    </xf>
    <xf numFmtId="0" fontId="21" fillId="0" borderId="0">
      <alignment vertical="center"/>
    </xf>
    <xf numFmtId="0" fontId="4" fillId="12" borderId="26" applyNumberFormat="0" applyAlignment="0" applyProtection="0">
      <alignment vertical="center"/>
    </xf>
    <xf numFmtId="0" fontId="1" fillId="0" borderId="0">
      <alignment vertical="center"/>
    </xf>
    <xf numFmtId="0" fontId="20" fillId="0" borderId="0">
      <alignment vertical="center"/>
    </xf>
    <xf numFmtId="0" fontId="21" fillId="0" borderId="0">
      <alignment vertical="center"/>
    </xf>
    <xf numFmtId="9" fontId="20"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23" fillId="0" borderId="0" applyNumberFormat="0" applyFill="0" applyBorder="0" applyAlignment="0" applyProtection="0">
      <alignment vertical="top"/>
      <protection locked="0"/>
    </xf>
    <xf numFmtId="0" fontId="1" fillId="0" borderId="0">
      <alignment vertical="center"/>
    </xf>
    <xf numFmtId="0" fontId="22" fillId="0" borderId="0" applyNumberFormat="0" applyFill="0" applyBorder="0" applyAlignment="0" applyProtection="0">
      <alignment vertical="top"/>
      <protection locked="0"/>
    </xf>
    <xf numFmtId="0" fontId="1" fillId="0" borderId="0">
      <alignment vertical="center"/>
    </xf>
    <xf numFmtId="0" fontId="39" fillId="0" borderId="0" applyNumberFormat="0" applyFill="0" applyBorder="0" applyAlignment="0" applyProtection="0">
      <alignment vertical="center"/>
    </xf>
  </cellStyleXfs>
  <cellXfs count="170">
    <xf numFmtId="0" fontId="0" fillId="0" borderId="0" xfId="0">
      <alignment vertical="center"/>
    </xf>
    <xf numFmtId="0" fontId="7" fillId="0" borderId="0" xfId="0" applyFont="1">
      <alignment vertical="center"/>
    </xf>
    <xf numFmtId="0" fontId="8" fillId="7" borderId="5" xfId="0" applyFont="1" applyFill="1" applyBorder="1" applyAlignment="1" applyProtection="1">
      <alignment horizontal="center" vertical="center"/>
      <protection locked="0"/>
    </xf>
    <xf numFmtId="0" fontId="9" fillId="7" borderId="6" xfId="0" applyFont="1" applyFill="1" applyBorder="1" applyAlignment="1" applyProtection="1">
      <alignment horizontal="left" vertical="center" indent="1"/>
      <protection locked="0"/>
    </xf>
    <xf numFmtId="0" fontId="9" fillId="7" borderId="4" xfId="0" applyFont="1" applyFill="1" applyBorder="1" applyAlignment="1" applyProtection="1">
      <alignment horizontal="left" vertical="center" indent="1"/>
      <protection locked="0"/>
    </xf>
    <xf numFmtId="0" fontId="9" fillId="7" borderId="2" xfId="0" applyFont="1" applyFill="1" applyBorder="1" applyAlignment="1" applyProtection="1">
      <alignment horizontal="left" vertical="center" indent="1"/>
      <protection locked="0"/>
    </xf>
    <xf numFmtId="0" fontId="7" fillId="0" borderId="0" xfId="0" applyFont="1" applyAlignment="1" applyProtection="1">
      <alignment horizontal="center" vertical="center" wrapText="1"/>
      <protection locked="0"/>
    </xf>
    <xf numFmtId="1" fontId="15" fillId="0" borderId="7" xfId="0" applyNumberFormat="1" applyFont="1" applyBorder="1" applyAlignment="1">
      <alignment horizontal="center" vertical="center"/>
    </xf>
    <xf numFmtId="9" fontId="15" fillId="0" borderId="8" xfId="0" applyNumberFormat="1" applyFont="1" applyBorder="1" applyAlignment="1">
      <alignment horizontal="center" vertical="center"/>
    </xf>
    <xf numFmtId="1" fontId="15" fillId="0" borderId="1" xfId="0" applyNumberFormat="1" applyFont="1" applyBorder="1" applyAlignment="1">
      <alignment horizontal="center" vertical="center"/>
    </xf>
    <xf numFmtId="9" fontId="15" fillId="0" borderId="9" xfId="0" applyNumberFormat="1" applyFont="1" applyBorder="1" applyAlignment="1">
      <alignment horizontal="center" vertical="center"/>
    </xf>
    <xf numFmtId="1" fontId="15" fillId="0" borderId="3" xfId="0" applyNumberFormat="1" applyFont="1" applyBorder="1" applyAlignment="1">
      <alignment horizontal="center" vertical="center"/>
    </xf>
    <xf numFmtId="0" fontId="16" fillId="0" borderId="0" xfId="0" applyFont="1">
      <alignment vertical="center"/>
    </xf>
    <xf numFmtId="9" fontId="15" fillId="0" borderId="10" xfId="0" applyNumberFormat="1" applyFont="1" applyBorder="1" applyAlignment="1">
      <alignment horizontal="center" vertical="center"/>
    </xf>
    <xf numFmtId="1" fontId="15" fillId="0" borderId="11" xfId="0" applyNumberFormat="1" applyFont="1" applyBorder="1" applyAlignment="1">
      <alignment horizontal="center" vertical="center"/>
    </xf>
    <xf numFmtId="14" fontId="5" fillId="0" borderId="12" xfId="0" applyNumberFormat="1" applyFont="1" applyBorder="1" applyAlignment="1">
      <alignment horizontal="center" vertical="center" wrapText="1"/>
    </xf>
    <xf numFmtId="14" fontId="5" fillId="0" borderId="13" xfId="0" applyNumberFormat="1" applyFont="1" applyBorder="1" applyAlignment="1">
      <alignment horizontal="center" vertical="center" wrapText="1"/>
    </xf>
    <xf numFmtId="0" fontId="5" fillId="0" borderId="14" xfId="0" applyFont="1" applyBorder="1" applyAlignment="1">
      <alignment vertical="center" wrapText="1"/>
    </xf>
    <xf numFmtId="14" fontId="5" fillId="0" borderId="15" xfId="0" applyNumberFormat="1" applyFont="1" applyBorder="1" applyAlignment="1">
      <alignment horizontal="center" vertical="center" wrapText="1"/>
    </xf>
    <xf numFmtId="14" fontId="5" fillId="0" borderId="16" xfId="0" applyNumberFormat="1" applyFont="1" applyBorder="1" applyAlignment="1">
      <alignment horizontal="center" vertical="center" wrapText="1"/>
    </xf>
    <xf numFmtId="0" fontId="5" fillId="0" borderId="17" xfId="0" applyFont="1" applyBorder="1" applyAlignment="1">
      <alignment vertical="center" wrapText="1"/>
    </xf>
    <xf numFmtId="0" fontId="7" fillId="0" borderId="15" xfId="0" applyFont="1" applyBorder="1">
      <alignment vertical="center"/>
    </xf>
    <xf numFmtId="0" fontId="7" fillId="0" borderId="16" xfId="0" applyFont="1" applyBorder="1">
      <alignment vertical="center"/>
    </xf>
    <xf numFmtId="0" fontId="7" fillId="0" borderId="17" xfId="0" applyFont="1" applyBorder="1">
      <alignment vertical="center"/>
    </xf>
    <xf numFmtId="0" fontId="7" fillId="0" borderId="18" xfId="0" applyFont="1" applyBorder="1">
      <alignment vertical="center"/>
    </xf>
    <xf numFmtId="0" fontId="7" fillId="0" borderId="19" xfId="0" applyFont="1" applyBorder="1">
      <alignment vertical="center"/>
    </xf>
    <xf numFmtId="0" fontId="7" fillId="0" borderId="20" xfId="0" applyFont="1" applyBorder="1">
      <alignment vertical="center"/>
    </xf>
    <xf numFmtId="0" fontId="9" fillId="7" borderId="21" xfId="0" applyFont="1" applyFill="1" applyBorder="1" applyAlignment="1" applyProtection="1">
      <alignment horizontal="left" vertical="center" indent="1"/>
      <protection locked="0"/>
    </xf>
    <xf numFmtId="9" fontId="9" fillId="0" borderId="22" xfId="0" applyNumberFormat="1" applyFont="1" applyBorder="1" applyAlignment="1">
      <alignment horizontal="center" vertical="center"/>
    </xf>
    <xf numFmtId="0" fontId="8" fillId="0" borderId="0" xfId="0" applyFont="1">
      <alignment vertical="center"/>
    </xf>
    <xf numFmtId="0" fontId="4" fillId="11" borderId="1" xfId="0" applyFont="1" applyFill="1" applyBorder="1" applyAlignment="1">
      <alignment horizontal="center" vertical="center" wrapText="1"/>
    </xf>
    <xf numFmtId="0" fontId="16" fillId="0" borderId="0" xfId="0" applyFont="1" applyAlignment="1">
      <alignment horizontal="left" vertical="center"/>
    </xf>
    <xf numFmtId="0" fontId="7" fillId="6" borderId="0" xfId="0" applyFont="1" applyFill="1" applyAlignment="1" applyProtection="1">
      <alignment horizontal="center" vertical="center" wrapText="1"/>
      <protection locked="0"/>
    </xf>
    <xf numFmtId="0" fontId="8" fillId="6" borderId="0" xfId="0" applyFont="1" applyFill="1" applyAlignment="1" applyProtection="1">
      <alignment horizontal="center" vertical="center"/>
      <protection locked="0"/>
    </xf>
    <xf numFmtId="0" fontId="9" fillId="6" borderId="0" xfId="0" applyFont="1" applyFill="1" applyAlignment="1" applyProtection="1">
      <alignment horizontal="left" vertical="center" indent="1"/>
      <protection locked="0"/>
    </xf>
    <xf numFmtId="9" fontId="15" fillId="6" borderId="0" xfId="0" applyNumberFormat="1" applyFont="1" applyFill="1" applyAlignment="1">
      <alignment horizontal="center" vertical="center"/>
    </xf>
    <xf numFmtId="9" fontId="9" fillId="0" borderId="0" xfId="0" applyNumberFormat="1" applyFont="1" applyAlignment="1">
      <alignment horizontal="center" vertical="center"/>
    </xf>
    <xf numFmtId="0" fontId="5" fillId="0" borderId="17" xfId="0" quotePrefix="1" applyFont="1" applyBorder="1" applyAlignment="1">
      <alignment vertical="center" wrapText="1"/>
    </xf>
    <xf numFmtId="14" fontId="5" fillId="0" borderId="23" xfId="0" applyNumberFormat="1" applyFont="1" applyBorder="1" applyAlignment="1">
      <alignment horizontal="center" vertical="center" wrapText="1"/>
    </xf>
    <xf numFmtId="14" fontId="5" fillId="0" borderId="24" xfId="0" applyNumberFormat="1" applyFont="1" applyBorder="1" applyAlignment="1">
      <alignment horizontal="center" vertical="center" wrapText="1"/>
    </xf>
    <xf numFmtId="0" fontId="7" fillId="0" borderId="24" xfId="0" applyFont="1" applyBorder="1">
      <alignment vertical="center"/>
    </xf>
    <xf numFmtId="0" fontId="7" fillId="0" borderId="25" xfId="0" applyFont="1" applyBorder="1">
      <alignment vertical="center"/>
    </xf>
    <xf numFmtId="42" fontId="9" fillId="0" borderId="31" xfId="1" applyFont="1" applyBorder="1" applyAlignment="1" applyProtection="1">
      <alignment horizontal="center" vertical="center"/>
      <protection locked="0"/>
    </xf>
    <xf numFmtId="0" fontId="13" fillId="0" borderId="31" xfId="0" applyFont="1" applyBorder="1" applyAlignment="1" applyProtection="1">
      <alignment horizontal="center" vertical="center"/>
      <protection locked="0"/>
    </xf>
    <xf numFmtId="0" fontId="13" fillId="0" borderId="31" xfId="0" applyFont="1" applyBorder="1" applyAlignment="1" applyProtection="1">
      <alignment horizontal="center" vertical="center" wrapText="1"/>
      <protection locked="0"/>
    </xf>
    <xf numFmtId="0" fontId="9" fillId="9" borderId="29" xfId="0" applyFont="1" applyFill="1" applyBorder="1" applyAlignment="1">
      <alignment horizontal="center" vertical="center"/>
    </xf>
    <xf numFmtId="0" fontId="9" fillId="0" borderId="28" xfId="0" applyFont="1" applyBorder="1" applyAlignment="1">
      <alignment horizontal="center" vertical="center"/>
    </xf>
    <xf numFmtId="0" fontId="10" fillId="2" borderId="28" xfId="0" applyFont="1" applyFill="1" applyBorder="1" applyAlignment="1">
      <alignment horizontal="center" vertical="center" wrapText="1"/>
    </xf>
    <xf numFmtId="0" fontId="11" fillId="6" borderId="31" xfId="0" applyFont="1" applyFill="1" applyBorder="1" applyAlignment="1">
      <alignment vertical="center" wrapText="1"/>
    </xf>
    <xf numFmtId="0" fontId="10" fillId="2" borderId="27" xfId="0" applyFont="1" applyFill="1" applyBorder="1" applyAlignment="1">
      <alignment horizontal="center" vertical="center"/>
    </xf>
    <xf numFmtId="0" fontId="9" fillId="9" borderId="28" xfId="0" applyFont="1" applyFill="1" applyBorder="1" applyAlignment="1">
      <alignment horizontal="center" vertical="center" wrapText="1"/>
    </xf>
    <xf numFmtId="0" fontId="9" fillId="8" borderId="28" xfId="0" applyFont="1" applyFill="1" applyBorder="1" applyAlignment="1">
      <alignment horizontal="center" vertical="center"/>
    </xf>
    <xf numFmtId="0" fontId="11" fillId="0" borderId="31" xfId="0" applyFont="1" applyBorder="1" applyAlignment="1" applyProtection="1">
      <alignment horizontal="left" vertical="center" wrapText="1"/>
      <protection locked="0"/>
    </xf>
    <xf numFmtId="0" fontId="14" fillId="0" borderId="32" xfId="0" applyFont="1" applyBorder="1" applyAlignment="1" applyProtection="1">
      <alignment horizontal="left" vertical="center" wrapText="1"/>
      <protection locked="0"/>
    </xf>
    <xf numFmtId="0" fontId="11" fillId="0" borderId="31" xfId="0" applyFont="1" applyBorder="1" applyAlignment="1" applyProtection="1">
      <alignment horizontal="center" vertical="center"/>
      <protection locked="0"/>
    </xf>
    <xf numFmtId="14" fontId="14" fillId="0" borderId="32" xfId="0" applyNumberFormat="1" applyFont="1" applyBorder="1" applyAlignment="1" applyProtection="1">
      <alignment horizontal="left" vertical="center" wrapText="1"/>
      <protection locked="0"/>
    </xf>
    <xf numFmtId="14" fontId="11" fillId="0" borderId="31" xfId="0" applyNumberFormat="1" applyFont="1" applyBorder="1" applyAlignment="1" applyProtection="1">
      <alignment horizontal="left" vertical="center" wrapText="1"/>
      <protection locked="0"/>
    </xf>
    <xf numFmtId="0" fontId="11" fillId="6" borderId="31" xfId="0" applyFont="1" applyFill="1" applyBorder="1" applyAlignment="1">
      <alignment horizontal="center" vertical="center" wrapText="1"/>
    </xf>
    <xf numFmtId="0" fontId="12" fillId="10" borderId="31" xfId="0" applyFont="1" applyFill="1" applyBorder="1" applyAlignment="1">
      <alignment vertical="center" wrapText="1"/>
    </xf>
    <xf numFmtId="0" fontId="12" fillId="10" borderId="31" xfId="0" applyFont="1" applyFill="1" applyBorder="1" applyAlignment="1">
      <alignment horizontal="left" vertical="center" wrapText="1"/>
    </xf>
    <xf numFmtId="0" fontId="12" fillId="10" borderId="30" xfId="0" applyFont="1" applyFill="1" applyBorder="1">
      <alignment vertical="center"/>
    </xf>
    <xf numFmtId="0" fontId="0" fillId="0" borderId="31" xfId="0" applyBorder="1">
      <alignment vertical="center"/>
    </xf>
    <xf numFmtId="0" fontId="0" fillId="0" borderId="32" xfId="0" applyBorder="1">
      <alignment vertical="center"/>
    </xf>
    <xf numFmtId="0" fontId="0" fillId="0" borderId="34" xfId="0" applyBorder="1">
      <alignment vertical="center"/>
    </xf>
    <xf numFmtId="0" fontId="0" fillId="0" borderId="35" xfId="0" applyBorder="1">
      <alignment vertical="center"/>
    </xf>
    <xf numFmtId="0" fontId="10" fillId="3" borderId="28" xfId="0" applyFont="1" applyFill="1" applyBorder="1" applyAlignment="1">
      <alignment horizontal="center" vertical="center"/>
    </xf>
    <xf numFmtId="0" fontId="10" fillId="4" borderId="28" xfId="0" applyFont="1" applyFill="1" applyBorder="1" applyAlignment="1">
      <alignment horizontal="center" vertical="center" wrapText="1"/>
    </xf>
    <xf numFmtId="0" fontId="25" fillId="6" borderId="0" xfId="0" applyFont="1" applyFill="1">
      <alignment vertical="center"/>
    </xf>
    <xf numFmtId="0" fontId="26" fillId="6" borderId="0" xfId="0" applyFont="1" applyFill="1">
      <alignment vertical="center"/>
    </xf>
    <xf numFmtId="0" fontId="26" fillId="14" borderId="0" xfId="0" applyFont="1" applyFill="1">
      <alignment vertical="center"/>
    </xf>
    <xf numFmtId="49" fontId="26" fillId="6" borderId="0" xfId="0" applyNumberFormat="1" applyFont="1" applyFill="1">
      <alignment vertical="center"/>
    </xf>
    <xf numFmtId="0" fontId="26" fillId="13" borderId="0" xfId="0" applyFont="1" applyFill="1">
      <alignment vertical="center"/>
    </xf>
    <xf numFmtId="0" fontId="26" fillId="15" borderId="0" xfId="0" applyFont="1" applyFill="1">
      <alignment vertical="center"/>
    </xf>
    <xf numFmtId="0" fontId="26" fillId="9" borderId="0" xfId="0" applyFont="1" applyFill="1">
      <alignment vertical="center"/>
    </xf>
    <xf numFmtId="49" fontId="27" fillId="16" borderId="3" xfId="0" applyNumberFormat="1" applyFont="1" applyFill="1" applyBorder="1">
      <alignment vertical="center"/>
    </xf>
    <xf numFmtId="0" fontId="26" fillId="6" borderId="37" xfId="0" applyFont="1" applyFill="1" applyBorder="1">
      <alignment vertical="center"/>
    </xf>
    <xf numFmtId="0" fontId="28" fillId="14" borderId="38" xfId="0" applyFont="1" applyFill="1" applyBorder="1">
      <alignment vertical="center"/>
    </xf>
    <xf numFmtId="49" fontId="26" fillId="6" borderId="39" xfId="0" applyNumberFormat="1" applyFont="1" applyFill="1" applyBorder="1" applyAlignment="1">
      <alignment vertical="center" wrapText="1"/>
    </xf>
    <xf numFmtId="49" fontId="26" fillId="6" borderId="40" xfId="0" applyNumberFormat="1" applyFont="1" applyFill="1" applyBorder="1">
      <alignment vertical="center"/>
    </xf>
    <xf numFmtId="49" fontId="26" fillId="6" borderId="40" xfId="0" applyNumberFormat="1" applyFont="1" applyFill="1" applyBorder="1" applyAlignment="1">
      <alignment vertical="center" wrapText="1"/>
    </xf>
    <xf numFmtId="0" fontId="26" fillId="14" borderId="37" xfId="0" applyFont="1" applyFill="1" applyBorder="1">
      <alignment vertical="center"/>
    </xf>
    <xf numFmtId="49" fontId="26" fillId="6" borderId="41" xfId="0" applyNumberFormat="1" applyFont="1" applyFill="1" applyBorder="1" applyAlignment="1">
      <alignment vertical="center" wrapText="1"/>
    </xf>
    <xf numFmtId="49" fontId="26" fillId="6" borderId="41" xfId="0" applyNumberFormat="1" applyFont="1" applyFill="1" applyBorder="1">
      <alignment vertical="center"/>
    </xf>
    <xf numFmtId="0" fontId="26" fillId="14" borderId="42" xfId="0" applyFont="1" applyFill="1" applyBorder="1">
      <alignment vertical="center"/>
    </xf>
    <xf numFmtId="49" fontId="26" fillId="6" borderId="43" xfId="0" applyNumberFormat="1" applyFont="1" applyFill="1" applyBorder="1" applyAlignment="1">
      <alignment vertical="center" wrapText="1"/>
    </xf>
    <xf numFmtId="49" fontId="26" fillId="6" borderId="44" xfId="0" applyNumberFormat="1" applyFont="1" applyFill="1" applyBorder="1">
      <alignment vertical="center"/>
    </xf>
    <xf numFmtId="49" fontId="26" fillId="6" borderId="44" xfId="0" applyNumberFormat="1" applyFont="1" applyFill="1" applyBorder="1" applyAlignment="1">
      <alignment vertical="center" wrapText="1"/>
    </xf>
    <xf numFmtId="0" fontId="26" fillId="6" borderId="42" xfId="0" applyFont="1" applyFill="1" applyBorder="1">
      <alignment vertical="center"/>
    </xf>
    <xf numFmtId="0" fontId="26" fillId="6" borderId="45" xfId="0" applyFont="1" applyFill="1" applyBorder="1" applyAlignment="1">
      <alignment horizontal="center" vertical="center"/>
    </xf>
    <xf numFmtId="0" fontId="26" fillId="6" borderId="45" xfId="0" applyFont="1" applyFill="1" applyBorder="1">
      <alignment vertical="center"/>
    </xf>
    <xf numFmtId="49" fontId="26" fillId="6" borderId="39" xfId="0" applyNumberFormat="1" applyFont="1" applyFill="1" applyBorder="1">
      <alignment vertical="center"/>
    </xf>
    <xf numFmtId="0" fontId="26" fillId="6" borderId="38" xfId="0" applyFont="1" applyFill="1" applyBorder="1">
      <alignment vertical="center"/>
    </xf>
    <xf numFmtId="0" fontId="26" fillId="6" borderId="0" xfId="0" applyFont="1" applyFill="1" applyAlignment="1">
      <alignment horizontal="center" vertical="center"/>
    </xf>
    <xf numFmtId="49" fontId="26" fillId="6" borderId="43" xfId="0" applyNumberFormat="1" applyFont="1" applyFill="1" applyBorder="1">
      <alignment vertical="center"/>
    </xf>
    <xf numFmtId="0" fontId="26" fillId="13" borderId="38" xfId="0" applyFont="1" applyFill="1" applyBorder="1">
      <alignment vertical="center"/>
    </xf>
    <xf numFmtId="0" fontId="26" fillId="13" borderId="42" xfId="0" applyFont="1" applyFill="1" applyBorder="1">
      <alignment vertical="center"/>
    </xf>
    <xf numFmtId="0" fontId="26" fillId="13" borderId="37" xfId="0" applyFont="1" applyFill="1" applyBorder="1">
      <alignment vertical="center"/>
    </xf>
    <xf numFmtId="0" fontId="26" fillId="9" borderId="38" xfId="0" applyFont="1" applyFill="1" applyBorder="1">
      <alignment vertical="center"/>
    </xf>
    <xf numFmtId="0" fontId="26" fillId="9" borderId="37" xfId="0" applyFont="1" applyFill="1" applyBorder="1">
      <alignment vertical="center"/>
    </xf>
    <xf numFmtId="0" fontId="26" fillId="9" borderId="42" xfId="0" applyFont="1" applyFill="1" applyBorder="1">
      <alignment vertical="center"/>
    </xf>
    <xf numFmtId="0" fontId="28" fillId="14" borderId="37" xfId="0" applyFont="1" applyFill="1" applyBorder="1">
      <alignment vertical="center"/>
    </xf>
    <xf numFmtId="0" fontId="28" fillId="14" borderId="42" xfId="0" applyFont="1" applyFill="1" applyBorder="1">
      <alignment vertical="center"/>
    </xf>
    <xf numFmtId="0" fontId="26" fillId="14" borderId="3" xfId="0" applyFont="1" applyFill="1" applyBorder="1">
      <alignment vertical="center"/>
    </xf>
    <xf numFmtId="0" fontId="26" fillId="14" borderId="46" xfId="0" applyFont="1" applyFill="1" applyBorder="1">
      <alignment vertical="center"/>
    </xf>
    <xf numFmtId="0" fontId="26" fillId="6" borderId="47" xfId="0" applyFont="1" applyFill="1" applyBorder="1" applyAlignment="1">
      <alignment horizontal="center" vertical="center"/>
    </xf>
    <xf numFmtId="0" fontId="26" fillId="13" borderId="48" xfId="0" applyFont="1" applyFill="1" applyBorder="1">
      <alignment vertical="center"/>
    </xf>
    <xf numFmtId="49" fontId="26" fillId="6" borderId="47" xfId="0" applyNumberFormat="1" applyFont="1" applyFill="1" applyBorder="1">
      <alignment vertical="center"/>
    </xf>
    <xf numFmtId="49" fontId="26" fillId="6" borderId="45" xfId="0" applyNumberFormat="1" applyFont="1" applyFill="1" applyBorder="1">
      <alignment vertical="center"/>
    </xf>
    <xf numFmtId="0" fontId="26" fillId="14" borderId="38" xfId="0" applyFont="1" applyFill="1" applyBorder="1">
      <alignment vertical="center"/>
    </xf>
    <xf numFmtId="0" fontId="26" fillId="13" borderId="3" xfId="0" applyFont="1" applyFill="1" applyBorder="1">
      <alignment vertical="center"/>
    </xf>
    <xf numFmtId="0" fontId="26" fillId="13" borderId="46" xfId="0" applyFont="1" applyFill="1" applyBorder="1">
      <alignment vertical="center"/>
    </xf>
    <xf numFmtId="0" fontId="26" fillId="6" borderId="44" xfId="0" applyFont="1" applyFill="1" applyBorder="1" applyAlignment="1">
      <alignment horizontal="center" vertical="center"/>
    </xf>
    <xf numFmtId="0" fontId="26" fillId="6" borderId="48" xfId="0" applyFont="1" applyFill="1" applyBorder="1">
      <alignment vertical="center"/>
    </xf>
    <xf numFmtId="0" fontId="26" fillId="14" borderId="36" xfId="0" applyFont="1" applyFill="1" applyBorder="1">
      <alignment vertical="center"/>
    </xf>
    <xf numFmtId="0" fontId="26" fillId="0" borderId="0" xfId="0" applyFont="1">
      <alignment vertical="center"/>
    </xf>
    <xf numFmtId="49" fontId="26" fillId="6" borderId="0" xfId="0" applyNumberFormat="1" applyFont="1" applyFill="1" applyAlignment="1">
      <alignment vertical="center" wrapText="1"/>
    </xf>
    <xf numFmtId="49" fontId="26" fillId="6" borderId="38" xfId="0" applyNumberFormat="1" applyFont="1" applyFill="1" applyBorder="1">
      <alignment vertical="center"/>
    </xf>
    <xf numFmtId="49" fontId="26" fillId="6" borderId="37" xfId="0" applyNumberFormat="1" applyFont="1" applyFill="1" applyBorder="1">
      <alignment vertical="center"/>
    </xf>
    <xf numFmtId="49" fontId="26" fillId="6" borderId="42" xfId="0" applyNumberFormat="1" applyFont="1" applyFill="1" applyBorder="1">
      <alignment vertical="center"/>
    </xf>
    <xf numFmtId="49" fontId="26" fillId="6" borderId="48" xfId="0" applyNumberFormat="1" applyFont="1" applyFill="1" applyBorder="1">
      <alignment vertical="center"/>
    </xf>
    <xf numFmtId="49" fontId="10" fillId="2" borderId="28" xfId="0" applyNumberFormat="1" applyFont="1" applyFill="1" applyBorder="1" applyAlignment="1">
      <alignment horizontal="center" vertical="center" wrapText="1"/>
    </xf>
    <xf numFmtId="49" fontId="12" fillId="5" borderId="31" xfId="0" applyNumberFormat="1" applyFont="1" applyFill="1" applyBorder="1" applyAlignment="1">
      <alignment horizontal="center" vertical="center" wrapText="1"/>
    </xf>
    <xf numFmtId="49" fontId="12" fillId="5" borderId="31" xfId="0" applyNumberFormat="1" applyFont="1" applyFill="1" applyBorder="1" applyAlignment="1">
      <alignment horizontal="center" vertical="center"/>
    </xf>
    <xf numFmtId="49" fontId="11" fillId="5" borderId="31" xfId="0" applyNumberFormat="1" applyFont="1" applyFill="1" applyBorder="1" applyAlignment="1">
      <alignment horizontal="center" vertical="center" wrapText="1"/>
    </xf>
    <xf numFmtId="49" fontId="17" fillId="5" borderId="31" xfId="0" applyNumberFormat="1" applyFont="1" applyFill="1" applyBorder="1" applyAlignment="1">
      <alignment horizontal="center" vertical="center" wrapText="1"/>
    </xf>
    <xf numFmtId="49" fontId="17" fillId="5" borderId="31" xfId="0" applyNumberFormat="1" applyFont="1" applyFill="1" applyBorder="1" applyAlignment="1">
      <alignment horizontal="center" vertical="center"/>
    </xf>
    <xf numFmtId="49" fontId="12" fillId="5" borderId="34" xfId="0" applyNumberFormat="1" applyFont="1" applyFill="1" applyBorder="1" applyAlignment="1">
      <alignment horizontal="center" vertical="center" wrapText="1"/>
    </xf>
    <xf numFmtId="0" fontId="12" fillId="18" borderId="30" xfId="0" applyFont="1" applyFill="1" applyBorder="1" applyAlignment="1">
      <alignment horizontal="center" vertical="center" wrapText="1"/>
    </xf>
    <xf numFmtId="49" fontId="0" fillId="0" borderId="0" xfId="0" applyNumberFormat="1" applyAlignment="1">
      <alignment horizontal="center" vertical="center"/>
    </xf>
    <xf numFmtId="0" fontId="19" fillId="6" borderId="31" xfId="0" applyFont="1" applyFill="1" applyBorder="1" applyAlignment="1">
      <alignment horizontal="left" vertical="center" wrapText="1" indent="1"/>
    </xf>
    <xf numFmtId="0" fontId="11" fillId="6" borderId="31" xfId="0" applyFont="1" applyFill="1" applyBorder="1" applyAlignment="1">
      <alignment horizontal="left" vertical="center" wrapText="1" indent="1"/>
    </xf>
    <xf numFmtId="0" fontId="11" fillId="6" borderId="31" xfId="0" applyFont="1" applyFill="1" applyBorder="1" applyAlignment="1">
      <alignment horizontal="left" vertical="center" indent="1"/>
    </xf>
    <xf numFmtId="0" fontId="0" fillId="18" borderId="30" xfId="0" applyFill="1" applyBorder="1" applyAlignment="1">
      <alignment horizontal="center" vertical="center"/>
    </xf>
    <xf numFmtId="0" fontId="0" fillId="18" borderId="30" xfId="0" applyFill="1" applyBorder="1" applyAlignment="1">
      <alignment horizontal="center" vertical="center" wrapText="1"/>
    </xf>
    <xf numFmtId="49" fontId="21" fillId="13" borderId="31" xfId="0" applyNumberFormat="1" applyFont="1" applyFill="1" applyBorder="1" applyAlignment="1">
      <alignment horizontal="left" vertical="center" wrapText="1" indent="1"/>
    </xf>
    <xf numFmtId="49" fontId="26" fillId="13" borderId="31" xfId="0" applyNumberFormat="1" applyFont="1" applyFill="1" applyBorder="1" applyAlignment="1">
      <alignment horizontal="left" vertical="center" wrapText="1" indent="1"/>
    </xf>
    <xf numFmtId="0" fontId="26" fillId="13" borderId="31" xfId="0" applyFont="1" applyFill="1" applyBorder="1" applyAlignment="1">
      <alignment horizontal="left" vertical="center" wrapText="1" indent="1"/>
    </xf>
    <xf numFmtId="49" fontId="26" fillId="13" borderId="31" xfId="0" applyNumberFormat="1" applyFont="1" applyFill="1" applyBorder="1" applyAlignment="1">
      <alignment horizontal="left" vertical="center" wrapText="1" indent="1" shrinkToFit="1"/>
    </xf>
    <xf numFmtId="49" fontId="26" fillId="13" borderId="34" xfId="0" applyNumberFormat="1" applyFont="1" applyFill="1" applyBorder="1" applyAlignment="1">
      <alignment horizontal="left" vertical="center" wrapText="1" indent="1"/>
    </xf>
    <xf numFmtId="0" fontId="11" fillId="17" borderId="31" xfId="0" applyFont="1" applyFill="1" applyBorder="1" applyAlignment="1">
      <alignment horizontal="left" vertical="center" wrapText="1" indent="1"/>
    </xf>
    <xf numFmtId="0" fontId="19" fillId="17" borderId="31" xfId="0" applyFont="1" applyFill="1" applyBorder="1" applyAlignment="1">
      <alignment horizontal="left" vertical="center" wrapText="1" indent="1"/>
    </xf>
    <xf numFmtId="0" fontId="19" fillId="17" borderId="31" xfId="0" applyFont="1" applyFill="1" applyBorder="1" applyAlignment="1">
      <alignment horizontal="left" vertical="center" indent="1"/>
    </xf>
    <xf numFmtId="0" fontId="14" fillId="17" borderId="31" xfId="0" applyFont="1" applyFill="1" applyBorder="1" applyAlignment="1">
      <alignment horizontal="left" vertical="center" wrapText="1" indent="1"/>
    </xf>
    <xf numFmtId="49" fontId="11" fillId="17" borderId="31" xfId="0" applyNumberFormat="1" applyFont="1" applyFill="1" applyBorder="1" applyAlignment="1">
      <alignment horizontal="left" vertical="center" wrapText="1" indent="1"/>
    </xf>
    <xf numFmtId="0" fontId="11" fillId="17" borderId="31" xfId="0" applyFont="1" applyFill="1" applyBorder="1" applyAlignment="1">
      <alignment horizontal="left" vertical="center" indent="1"/>
    </xf>
    <xf numFmtId="0" fontId="19" fillId="17" borderId="34" xfId="0" applyFont="1" applyFill="1" applyBorder="1" applyAlignment="1">
      <alignment horizontal="left" vertical="center" wrapText="1" indent="1"/>
    </xf>
    <xf numFmtId="0" fontId="9" fillId="7" borderId="49" xfId="0" applyFont="1" applyFill="1" applyBorder="1" applyAlignment="1" applyProtection="1">
      <alignment horizontal="left" vertical="center" indent="1"/>
      <protection locked="0"/>
    </xf>
    <xf numFmtId="0" fontId="35" fillId="17" borderId="31" xfId="0" applyFont="1" applyFill="1" applyBorder="1" applyAlignment="1">
      <alignment horizontal="left" vertical="center" wrapText="1" indent="1"/>
    </xf>
    <xf numFmtId="10" fontId="0" fillId="0" borderId="31" xfId="0" applyNumberFormat="1" applyBorder="1">
      <alignment vertical="center"/>
    </xf>
    <xf numFmtId="0" fontId="36" fillId="0" borderId="31" xfId="0" applyFont="1" applyBorder="1" applyAlignment="1">
      <alignment vertical="center" wrapText="1"/>
    </xf>
    <xf numFmtId="0" fontId="1" fillId="0" borderId="31" xfId="0" applyFont="1" applyBorder="1">
      <alignment vertical="center"/>
    </xf>
    <xf numFmtId="0" fontId="36" fillId="0" borderId="31" xfId="0" applyFont="1" applyBorder="1">
      <alignment vertical="center"/>
    </xf>
    <xf numFmtId="0" fontId="0" fillId="0" borderId="32" xfId="0" applyBorder="1" applyAlignment="1">
      <alignment vertical="center" wrapText="1"/>
    </xf>
    <xf numFmtId="0" fontId="0" fillId="0" borderId="31" xfId="0" applyBorder="1" applyAlignment="1">
      <alignment vertical="center" wrapText="1"/>
    </xf>
    <xf numFmtId="0" fontId="14" fillId="0" borderId="31" xfId="0" applyFont="1" applyBorder="1" applyAlignment="1" applyProtection="1">
      <alignment horizontal="center" vertical="center" wrapText="1"/>
      <protection locked="0"/>
    </xf>
    <xf numFmtId="0" fontId="37" fillId="0" borderId="31" xfId="0" applyFont="1" applyBorder="1" applyAlignment="1" applyProtection="1">
      <alignment horizontal="center" vertical="center" wrapText="1"/>
      <protection locked="0"/>
    </xf>
    <xf numFmtId="0" fontId="35" fillId="6" borderId="31" xfId="0" applyFont="1" applyFill="1" applyBorder="1" applyAlignment="1">
      <alignment horizontal="left" vertical="center" wrapText="1" indent="1"/>
    </xf>
    <xf numFmtId="0" fontId="39" fillId="0" borderId="31" xfId="21" applyBorder="1" applyAlignment="1" applyProtection="1">
      <alignment horizontal="center" vertical="center" wrapText="1"/>
      <protection locked="0"/>
    </xf>
    <xf numFmtId="0" fontId="39" fillId="0" borderId="31" xfId="21" applyBorder="1" applyAlignment="1" applyProtection="1">
      <alignment horizontal="center" vertical="center"/>
      <protection locked="0"/>
    </xf>
    <xf numFmtId="0" fontId="39" fillId="0" borderId="31" xfId="21" applyBorder="1">
      <alignment vertical="center"/>
    </xf>
    <xf numFmtId="0" fontId="42" fillId="17" borderId="31" xfId="0" applyFont="1" applyFill="1" applyBorder="1" applyAlignment="1">
      <alignment horizontal="left" vertical="center" wrapText="1" indent="1"/>
    </xf>
    <xf numFmtId="0" fontId="16" fillId="0" borderId="0" xfId="0" applyFont="1" applyAlignment="1">
      <alignment horizontal="left" vertical="center"/>
    </xf>
    <xf numFmtId="0" fontId="26" fillId="6" borderId="1" xfId="0" applyFont="1" applyFill="1" applyBorder="1" applyAlignment="1">
      <alignment horizontal="center" vertical="center"/>
    </xf>
    <xf numFmtId="0" fontId="26" fillId="14" borderId="3" xfId="0" applyFont="1" applyFill="1" applyBorder="1" applyAlignment="1">
      <alignment horizontal="left" vertical="top"/>
    </xf>
    <xf numFmtId="0" fontId="26" fillId="14" borderId="46" xfId="0" applyFont="1" applyFill="1" applyBorder="1" applyAlignment="1">
      <alignment horizontal="left" vertical="top"/>
    </xf>
    <xf numFmtId="0" fontId="12" fillId="18" borderId="30" xfId="0" applyFont="1" applyFill="1" applyBorder="1" applyAlignment="1">
      <alignment horizontal="center" vertical="center" wrapText="1"/>
    </xf>
    <xf numFmtId="0" fontId="12" fillId="18" borderId="30" xfId="0" applyFont="1" applyFill="1" applyBorder="1" applyAlignment="1">
      <alignment horizontal="center" vertical="center"/>
    </xf>
    <xf numFmtId="0" fontId="0" fillId="18" borderId="30" xfId="0" applyFill="1" applyBorder="1" applyAlignment="1">
      <alignment horizontal="center" vertical="center"/>
    </xf>
    <xf numFmtId="0" fontId="0" fillId="18" borderId="30" xfId="0" applyFill="1" applyBorder="1" applyAlignment="1">
      <alignment horizontal="center" vertical="center" wrapText="1"/>
    </xf>
    <xf numFmtId="0" fontId="0" fillId="18" borderId="33" xfId="0" applyFill="1" applyBorder="1" applyAlignment="1">
      <alignment horizontal="center" vertical="center"/>
    </xf>
  </cellXfs>
  <cellStyles count="22">
    <cellStyle name="Hyperlink" xfId="21" xr:uid="{00000000-000B-0000-0000-000008000000}"/>
    <cellStyle name="백분율 2" xfId="12" xr:uid="{323475B5-CC81-48AD-9DA6-15C4AF909FD7}"/>
    <cellStyle name="백분율 3" xfId="6" xr:uid="{6BA4CEB8-1723-4FDB-8E05-066CB69D36DB}"/>
    <cellStyle name="셀 확인 2" xfId="8" xr:uid="{A0A5F001-CFB9-4B4F-AA6B-FF22FE7B199D}"/>
    <cellStyle name="통화 [0]" xfId="1" builtinId="7"/>
    <cellStyle name="표준" xfId="0" builtinId="0"/>
    <cellStyle name="표준 10" xfId="15" xr:uid="{6A718DC5-9B81-49ED-B266-04AE62A8D3BF}"/>
    <cellStyle name="표준 2" xfId="7" xr:uid="{D5AEFB75-3F9F-4725-AAE6-E33233287B7E}"/>
    <cellStyle name="표준 2 2" xfId="16" xr:uid="{9CBA29C0-EF42-4C0C-82C6-947FC69F0ACF}"/>
    <cellStyle name="표준 3" xfId="3" xr:uid="{0A9AFF78-2C29-432F-AFB2-63BBA7ADD68D}"/>
    <cellStyle name="표준 3 2" xfId="10" xr:uid="{DDD1BF28-E6E2-4AD2-80D5-0A2EC5ACCE25}"/>
    <cellStyle name="표준 3 3" xfId="11" xr:uid="{2F85FBBB-E17B-49C2-B5D0-01BE14C88FBB}"/>
    <cellStyle name="표준 4" xfId="4" xr:uid="{9FA508AB-19D7-47A1-9672-E1DAABDB7E2B}"/>
    <cellStyle name="표준 5" xfId="9" xr:uid="{E37660A8-0AD5-4A46-9F0C-6F8A3698218F}"/>
    <cellStyle name="표준 6" xfId="13" xr:uid="{C1AFA7DB-25AE-409B-98DF-2DBCD215E007}"/>
    <cellStyle name="표준 7" xfId="14" xr:uid="{FA516C1A-404D-4D5E-A4CE-D5EE291252B3}"/>
    <cellStyle name="표준 7 2" xfId="20" xr:uid="{7086BC04-4A56-4DCD-913E-CF35524C9DAB}"/>
    <cellStyle name="표준 8" xfId="18" xr:uid="{5CBE4DE4-A833-40D8-AF33-A4137F85137D}"/>
    <cellStyle name="표준 9" xfId="2" xr:uid="{75FC0D37-38FF-4C0A-A3DC-36F772A1F933}"/>
    <cellStyle name="하이퍼링크 2" xfId="17" xr:uid="{8352A4C9-91AB-456E-80B1-F6423798A3E1}"/>
    <cellStyle name="하이퍼링크 3" xfId="19" xr:uid="{BC4B0332-F713-44BE-B1EA-9B13C7928640}"/>
    <cellStyle name="하이퍼링크 4" xfId="5" xr:uid="{86D5A454-EC6E-446E-87D5-4C4499E5BB78}"/>
  </cellStyles>
  <dxfs count="7">
    <dxf>
      <font>
        <b/>
        <i val="0"/>
        <color theme="1"/>
      </font>
      <numFmt numFmtId="0" formatCode="General"/>
      <fill>
        <patternFill>
          <bgColor theme="0" tint="-0.24994659260841701"/>
        </patternFill>
      </fill>
      <border>
        <left/>
        <right/>
        <top/>
        <bottom/>
      </border>
    </dxf>
    <dxf>
      <font>
        <b/>
        <i val="0"/>
        <color theme="1"/>
      </font>
      <numFmt numFmtId="0" formatCode="General"/>
      <fill>
        <patternFill>
          <bgColor theme="9" tint="0.59996337778862885"/>
        </patternFill>
      </fill>
      <border>
        <left/>
        <right/>
        <top/>
        <bottom/>
      </border>
    </dxf>
    <dxf>
      <font>
        <b/>
        <i val="0"/>
      </font>
      <numFmt numFmtId="0" formatCode="General"/>
      <fill>
        <patternFill>
          <bgColor theme="7" tint="0.59996337778862885"/>
        </patternFill>
      </fill>
      <border>
        <left/>
        <right/>
        <top/>
        <bottom/>
      </border>
    </dxf>
    <dxf>
      <font>
        <b/>
        <i val="0"/>
        <color auto="1"/>
      </font>
      <numFmt numFmtId="0" formatCode="General"/>
      <fill>
        <patternFill>
          <bgColor rgb="FFFF0000"/>
        </patternFill>
      </fill>
    </dxf>
    <dxf>
      <font>
        <b/>
        <i val="0"/>
        <color auto="1"/>
      </font>
      <numFmt numFmtId="0" formatCode="General"/>
      <fill>
        <patternFill>
          <bgColor theme="4" tint="0.59996337778862885"/>
        </patternFill>
      </fill>
    </dxf>
    <dxf>
      <font>
        <b/>
        <i val="0"/>
        <color auto="1"/>
      </font>
      <fill>
        <patternFill>
          <bgColor theme="5" tint="0.39994506668294322"/>
        </patternFill>
      </fill>
    </dxf>
    <dxf>
      <font>
        <b/>
        <i val="0"/>
      </font>
      <fill>
        <patternFill>
          <bgColor rgb="FFFFFF00"/>
        </patternFill>
      </fill>
    </dxf>
  </dxfs>
  <tableStyles count="0" defaultTableStyle="TableStyleMedium2" defaultPivotStyle="PivotStyleLight16"/>
  <colors>
    <mruColors>
      <color rgb="FFFF7C80"/>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2D5EE-D83D-445F-9565-60895BF9269E}">
  <dimension ref="B2:F36"/>
  <sheetViews>
    <sheetView showGridLines="0" workbookViewId="0">
      <selection activeCell="J9" sqref="J9"/>
    </sheetView>
  </sheetViews>
  <sheetFormatPr defaultColWidth="11.53515625" defaultRowHeight="17.5"/>
  <cols>
    <col min="1" max="1" width="4.69140625" style="1" customWidth="1"/>
    <col min="2" max="3" width="17.53515625" style="1" customWidth="1"/>
    <col min="4" max="4" width="14.3046875" style="1" customWidth="1"/>
    <col min="5" max="5" width="20.84375" style="1" customWidth="1"/>
    <col min="6" max="6" width="98.69140625" style="1" customWidth="1"/>
    <col min="7" max="16384" width="11.53515625" style="1"/>
  </cols>
  <sheetData>
    <row r="2" spans="2:6" ht="44">
      <c r="B2" s="12" t="s">
        <v>0</v>
      </c>
      <c r="C2" s="12"/>
    </row>
    <row r="4" spans="2:6" ht="22" customHeight="1">
      <c r="B4" s="30" t="s">
        <v>1</v>
      </c>
      <c r="C4" s="30" t="s">
        <v>2</v>
      </c>
      <c r="D4" s="30" t="s">
        <v>3</v>
      </c>
      <c r="E4" s="30" t="s">
        <v>4</v>
      </c>
      <c r="F4" s="30" t="s">
        <v>5</v>
      </c>
    </row>
    <row r="5" spans="2:6">
      <c r="B5" s="15">
        <v>44868</v>
      </c>
      <c r="C5" s="38" t="s">
        <v>6</v>
      </c>
      <c r="D5" s="16" t="s">
        <v>7</v>
      </c>
      <c r="E5" s="16" t="s">
        <v>8</v>
      </c>
      <c r="F5" s="17" t="s">
        <v>9</v>
      </c>
    </row>
    <row r="6" spans="2:6">
      <c r="B6" s="18"/>
      <c r="C6" s="39"/>
      <c r="D6" s="19"/>
      <c r="E6" s="19"/>
      <c r="F6" s="37"/>
    </row>
    <row r="7" spans="2:6">
      <c r="B7" s="18"/>
      <c r="C7" s="39"/>
      <c r="D7" s="19"/>
      <c r="E7" s="19"/>
      <c r="F7" s="20"/>
    </row>
    <row r="8" spans="2:6">
      <c r="B8" s="18"/>
      <c r="C8" s="39"/>
      <c r="D8" s="19"/>
      <c r="E8" s="19"/>
      <c r="F8" s="20"/>
    </row>
    <row r="9" spans="2:6">
      <c r="B9" s="18"/>
      <c r="C9" s="39"/>
      <c r="D9" s="19"/>
      <c r="E9" s="19"/>
      <c r="F9" s="20"/>
    </row>
    <row r="10" spans="2:6">
      <c r="B10" s="18"/>
      <c r="C10" s="39"/>
      <c r="D10" s="19"/>
      <c r="E10" s="19"/>
      <c r="F10" s="20"/>
    </row>
    <row r="11" spans="2:6">
      <c r="B11" s="21"/>
      <c r="C11" s="40"/>
      <c r="D11" s="22"/>
      <c r="E11" s="22"/>
      <c r="F11" s="20"/>
    </row>
    <row r="12" spans="2:6">
      <c r="B12" s="21"/>
      <c r="C12" s="40"/>
      <c r="D12" s="22"/>
      <c r="E12" s="22"/>
      <c r="F12" s="23"/>
    </row>
    <row r="13" spans="2:6">
      <c r="B13" s="21"/>
      <c r="C13" s="40"/>
      <c r="D13" s="22"/>
      <c r="E13" s="22"/>
      <c r="F13" s="23"/>
    </row>
    <row r="14" spans="2:6">
      <c r="B14" s="21"/>
      <c r="C14" s="40"/>
      <c r="D14" s="22"/>
      <c r="E14" s="22"/>
      <c r="F14" s="23"/>
    </row>
    <row r="15" spans="2:6">
      <c r="B15" s="21"/>
      <c r="C15" s="40"/>
      <c r="D15" s="22"/>
      <c r="E15" s="22"/>
      <c r="F15" s="23"/>
    </row>
    <row r="16" spans="2:6">
      <c r="B16" s="21"/>
      <c r="C16" s="40"/>
      <c r="D16" s="22"/>
      <c r="E16" s="22"/>
      <c r="F16" s="23"/>
    </row>
    <row r="17" spans="2:6">
      <c r="B17" s="21"/>
      <c r="C17" s="40"/>
      <c r="D17" s="22"/>
      <c r="E17" s="22"/>
      <c r="F17" s="23"/>
    </row>
    <row r="18" spans="2:6">
      <c r="B18" s="21"/>
      <c r="C18" s="40"/>
      <c r="D18" s="22"/>
      <c r="E18" s="22"/>
      <c r="F18" s="23"/>
    </row>
    <row r="19" spans="2:6">
      <c r="B19" s="21"/>
      <c r="C19" s="40"/>
      <c r="D19" s="22"/>
      <c r="E19" s="22"/>
      <c r="F19" s="23"/>
    </row>
    <row r="20" spans="2:6">
      <c r="B20" s="21"/>
      <c r="C20" s="40"/>
      <c r="D20" s="22"/>
      <c r="E20" s="22"/>
      <c r="F20" s="23"/>
    </row>
    <row r="21" spans="2:6">
      <c r="B21" s="21"/>
      <c r="C21" s="40"/>
      <c r="D21" s="22"/>
      <c r="E21" s="22"/>
      <c r="F21" s="23"/>
    </row>
    <row r="22" spans="2:6">
      <c r="B22" s="21"/>
      <c r="C22" s="40"/>
      <c r="D22" s="22"/>
      <c r="E22" s="22"/>
      <c r="F22" s="23"/>
    </row>
    <row r="23" spans="2:6">
      <c r="B23" s="21"/>
      <c r="C23" s="40"/>
      <c r="D23" s="22"/>
      <c r="E23" s="22"/>
      <c r="F23" s="23"/>
    </row>
    <row r="24" spans="2:6">
      <c r="B24" s="21"/>
      <c r="C24" s="40"/>
      <c r="D24" s="22"/>
      <c r="E24" s="22"/>
      <c r="F24" s="23"/>
    </row>
    <row r="25" spans="2:6">
      <c r="B25" s="21"/>
      <c r="C25" s="40"/>
      <c r="D25" s="22"/>
      <c r="E25" s="22"/>
      <c r="F25" s="23"/>
    </row>
    <row r="26" spans="2:6">
      <c r="B26" s="21"/>
      <c r="C26" s="40"/>
      <c r="D26" s="22"/>
      <c r="E26" s="22"/>
      <c r="F26" s="23"/>
    </row>
    <row r="27" spans="2:6">
      <c r="B27" s="21"/>
      <c r="C27" s="40"/>
      <c r="D27" s="22"/>
      <c r="E27" s="22"/>
      <c r="F27" s="23"/>
    </row>
    <row r="28" spans="2:6">
      <c r="B28" s="21"/>
      <c r="C28" s="40"/>
      <c r="D28" s="22"/>
      <c r="E28" s="22"/>
      <c r="F28" s="23"/>
    </row>
    <row r="29" spans="2:6">
      <c r="B29" s="21"/>
      <c r="C29" s="40"/>
      <c r="D29" s="22"/>
      <c r="E29" s="22"/>
      <c r="F29" s="23"/>
    </row>
    <row r="30" spans="2:6">
      <c r="B30" s="21"/>
      <c r="C30" s="40"/>
      <c r="D30" s="22"/>
      <c r="E30" s="22"/>
      <c r="F30" s="23"/>
    </row>
    <row r="31" spans="2:6">
      <c r="B31" s="21"/>
      <c r="C31" s="40"/>
      <c r="D31" s="22"/>
      <c r="E31" s="22"/>
      <c r="F31" s="23"/>
    </row>
    <row r="32" spans="2:6">
      <c r="B32" s="21"/>
      <c r="C32" s="40"/>
      <c r="D32" s="22"/>
      <c r="E32" s="22"/>
      <c r="F32" s="23"/>
    </row>
    <row r="33" spans="2:6">
      <c r="B33" s="21"/>
      <c r="C33" s="40"/>
      <c r="D33" s="22"/>
      <c r="E33" s="22"/>
      <c r="F33" s="23"/>
    </row>
    <row r="34" spans="2:6">
      <c r="B34" s="21"/>
      <c r="C34" s="40"/>
      <c r="D34" s="22"/>
      <c r="E34" s="22"/>
      <c r="F34" s="23"/>
    </row>
    <row r="35" spans="2:6">
      <c r="B35" s="21"/>
      <c r="C35" s="40"/>
      <c r="D35" s="22"/>
      <c r="E35" s="22"/>
      <c r="F35" s="23"/>
    </row>
    <row r="36" spans="2:6">
      <c r="B36" s="24"/>
      <c r="C36" s="41"/>
      <c r="D36" s="25"/>
      <c r="E36" s="25"/>
      <c r="F36" s="26"/>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8D83-DB9A-4309-9071-82F3CC07B793}">
  <dimension ref="B2:H176"/>
  <sheetViews>
    <sheetView showGridLines="0" topLeftCell="B22" zoomScale="106" zoomScaleNormal="100" workbookViewId="0">
      <selection activeCell="F62" sqref="F62"/>
    </sheetView>
  </sheetViews>
  <sheetFormatPr defaultColWidth="11.53515625" defaultRowHeight="17.5"/>
  <cols>
    <col min="1" max="1" width="3.4609375" customWidth="1"/>
    <col min="2" max="2" width="12.84375" customWidth="1"/>
    <col min="3" max="3" width="34.3046875" customWidth="1"/>
    <col min="4" max="4" width="4.3046875" customWidth="1"/>
    <col min="5" max="5" width="54.3046875" customWidth="1"/>
    <col min="6" max="6" width="17.07421875" customWidth="1"/>
    <col min="7" max="7" width="41.69140625" customWidth="1"/>
    <col min="8" max="8" width="22.07421875" customWidth="1"/>
  </cols>
  <sheetData>
    <row r="2" spans="2:8" ht="18" customHeight="1">
      <c r="B2" s="161" t="s">
        <v>10</v>
      </c>
      <c r="C2" s="161"/>
      <c r="D2" s="161"/>
      <c r="E2" s="31"/>
      <c r="F2" s="31"/>
    </row>
    <row r="3" spans="2:8" ht="17.5" customHeight="1">
      <c r="B3" s="161"/>
      <c r="C3" s="161"/>
      <c r="D3" s="161"/>
      <c r="E3" s="29"/>
      <c r="F3" s="31"/>
    </row>
    <row r="4" spans="2:8" ht="17.5" customHeight="1">
      <c r="B4" s="161"/>
      <c r="C4" s="161"/>
      <c r="D4" s="161"/>
      <c r="E4" s="29"/>
      <c r="F4" s="31"/>
    </row>
    <row r="5" spans="2:8" ht="17.5" customHeight="1">
      <c r="B5" s="161"/>
      <c r="C5" s="161"/>
      <c r="D5" s="161"/>
      <c r="E5" s="29"/>
      <c r="F5" s="31"/>
    </row>
    <row r="6" spans="2:8" ht="18" customHeight="1">
      <c r="B6" s="161"/>
      <c r="C6" s="161"/>
      <c r="D6" s="161"/>
      <c r="F6" s="31"/>
    </row>
    <row r="7" spans="2:8" ht="15" customHeight="1">
      <c r="B7" s="67"/>
      <c r="C7" s="68"/>
      <c r="D7" s="69"/>
      <c r="E7" s="68" t="s">
        <v>11</v>
      </c>
      <c r="F7" s="70"/>
      <c r="G7" s="70"/>
      <c r="H7" s="68"/>
    </row>
    <row r="8" spans="2:8" ht="15" customHeight="1">
      <c r="B8" s="67"/>
      <c r="C8" s="68"/>
      <c r="D8" s="71"/>
      <c r="E8" s="68" t="s">
        <v>12</v>
      </c>
      <c r="F8" s="70"/>
      <c r="G8" s="70"/>
      <c r="H8" s="68"/>
    </row>
    <row r="9" spans="2:8" ht="15" customHeight="1">
      <c r="B9" s="67"/>
      <c r="C9" s="68"/>
      <c r="D9" s="72"/>
      <c r="E9" s="68" t="s">
        <v>13</v>
      </c>
      <c r="F9" s="70"/>
      <c r="G9" s="70"/>
      <c r="H9" s="68"/>
    </row>
    <row r="10" spans="2:8" ht="15" customHeight="1">
      <c r="B10" s="68"/>
      <c r="C10" s="68"/>
      <c r="D10" s="73"/>
      <c r="E10" s="70" t="s">
        <v>14</v>
      </c>
      <c r="F10" s="70"/>
      <c r="G10" s="70"/>
      <c r="H10" s="68"/>
    </row>
    <row r="11" spans="2:8">
      <c r="B11" s="68"/>
      <c r="C11" s="68"/>
      <c r="D11" s="68"/>
      <c r="E11" s="70"/>
      <c r="F11" s="70"/>
      <c r="G11" s="70"/>
      <c r="H11" s="68"/>
    </row>
    <row r="12" spans="2:8">
      <c r="B12" s="68"/>
      <c r="C12" s="74" t="s">
        <v>15</v>
      </c>
      <c r="D12" s="75"/>
      <c r="E12" s="74" t="s">
        <v>16</v>
      </c>
      <c r="F12" s="74" t="s">
        <v>17</v>
      </c>
      <c r="G12" s="74" t="s">
        <v>18</v>
      </c>
      <c r="H12" s="74" t="s">
        <v>19</v>
      </c>
    </row>
    <row r="13" spans="2:8">
      <c r="B13" s="162" t="s">
        <v>20</v>
      </c>
      <c r="C13" s="76" t="s">
        <v>21</v>
      </c>
      <c r="D13" s="68"/>
      <c r="E13" s="77" t="s">
        <v>22</v>
      </c>
      <c r="F13" s="78" t="s">
        <v>23</v>
      </c>
      <c r="G13" s="79" t="s">
        <v>24</v>
      </c>
      <c r="H13" s="91" t="s">
        <v>25</v>
      </c>
    </row>
    <row r="14" spans="2:8">
      <c r="B14" s="162"/>
      <c r="C14" s="80"/>
      <c r="D14" s="68"/>
      <c r="E14" s="81" t="s">
        <v>26</v>
      </c>
      <c r="F14" s="70"/>
      <c r="G14" s="115" t="s">
        <v>27</v>
      </c>
      <c r="H14" s="75" t="s">
        <v>28</v>
      </c>
    </row>
    <row r="15" spans="2:8">
      <c r="B15" s="162"/>
      <c r="C15" s="80"/>
      <c r="D15" s="68"/>
      <c r="E15" s="81" t="s">
        <v>29</v>
      </c>
      <c r="F15" s="70"/>
      <c r="G15" s="115" t="s">
        <v>30</v>
      </c>
      <c r="H15" s="75" t="s">
        <v>31</v>
      </c>
    </row>
    <row r="16" spans="2:8">
      <c r="B16" s="162"/>
      <c r="C16" s="80"/>
      <c r="D16" s="68"/>
      <c r="E16" s="82" t="s">
        <v>32</v>
      </c>
      <c r="F16" s="70"/>
      <c r="G16" s="115"/>
      <c r="H16" s="75" t="s">
        <v>28</v>
      </c>
    </row>
    <row r="17" spans="2:8">
      <c r="B17" s="162"/>
      <c r="C17" s="80"/>
      <c r="D17" s="68"/>
      <c r="E17" s="81" t="s">
        <v>33</v>
      </c>
      <c r="F17" s="70"/>
      <c r="G17" s="115"/>
      <c r="H17" s="75" t="s">
        <v>31</v>
      </c>
    </row>
    <row r="18" spans="2:8">
      <c r="B18" s="162"/>
      <c r="C18" s="80"/>
      <c r="D18" s="68"/>
      <c r="E18" s="82" t="s">
        <v>34</v>
      </c>
      <c r="F18" s="70"/>
      <c r="G18" s="115"/>
      <c r="H18" s="75" t="s">
        <v>31</v>
      </c>
    </row>
    <row r="19" spans="2:8">
      <c r="B19" s="162"/>
      <c r="C19" s="80"/>
      <c r="D19" s="68"/>
      <c r="E19" s="81" t="s">
        <v>35</v>
      </c>
      <c r="F19" s="70"/>
      <c r="G19" s="115"/>
      <c r="H19" s="75" t="s">
        <v>28</v>
      </c>
    </row>
    <row r="20" spans="2:8">
      <c r="B20" s="162"/>
      <c r="C20" s="80"/>
      <c r="D20" s="68"/>
      <c r="E20" s="81" t="s">
        <v>36</v>
      </c>
      <c r="F20" s="70"/>
      <c r="G20" s="115"/>
      <c r="H20" s="75" t="s">
        <v>37</v>
      </c>
    </row>
    <row r="21" spans="2:8">
      <c r="B21" s="162"/>
      <c r="C21" s="80"/>
      <c r="D21" s="68"/>
      <c r="E21" s="81" t="s">
        <v>38</v>
      </c>
      <c r="F21" s="70"/>
      <c r="G21" s="115"/>
      <c r="H21" s="75" t="s">
        <v>37</v>
      </c>
    </row>
    <row r="22" spans="2:8">
      <c r="B22" s="162"/>
      <c r="C22" s="80"/>
      <c r="D22" s="68"/>
      <c r="E22" s="81" t="s">
        <v>39</v>
      </c>
      <c r="F22" s="70"/>
      <c r="G22" s="115"/>
      <c r="H22" s="75" t="s">
        <v>31</v>
      </c>
    </row>
    <row r="23" spans="2:8">
      <c r="B23" s="162"/>
      <c r="C23" s="83"/>
      <c r="D23" s="68"/>
      <c r="E23" s="84" t="s">
        <v>40</v>
      </c>
      <c r="F23" s="85"/>
      <c r="G23" s="86"/>
      <c r="H23" s="87" t="s">
        <v>28</v>
      </c>
    </row>
    <row r="24" spans="2:8">
      <c r="B24" s="162"/>
      <c r="C24" s="88" t="s">
        <v>41</v>
      </c>
      <c r="D24" s="68"/>
      <c r="E24" s="68"/>
      <c r="F24" s="68"/>
      <c r="G24" s="68"/>
      <c r="H24" s="68"/>
    </row>
    <row r="25" spans="2:8">
      <c r="B25" s="162"/>
      <c r="C25" s="76" t="s">
        <v>42</v>
      </c>
      <c r="D25" s="68"/>
      <c r="E25" s="90" t="s">
        <v>43</v>
      </c>
      <c r="F25" s="78" t="s">
        <v>44</v>
      </c>
      <c r="G25" s="78" t="s">
        <v>45</v>
      </c>
      <c r="H25" s="91" t="s">
        <v>31</v>
      </c>
    </row>
    <row r="26" spans="2:8">
      <c r="B26" s="162"/>
      <c r="C26" s="80"/>
      <c r="D26" s="68"/>
      <c r="E26" s="82" t="s">
        <v>46</v>
      </c>
      <c r="F26" s="70" t="s">
        <v>47</v>
      </c>
      <c r="G26" s="70" t="s">
        <v>48</v>
      </c>
      <c r="H26" s="75" t="s">
        <v>31</v>
      </c>
    </row>
    <row r="27" spans="2:8">
      <c r="B27" s="162"/>
      <c r="C27" s="80"/>
      <c r="D27" s="92"/>
      <c r="E27" s="82" t="s">
        <v>49</v>
      </c>
      <c r="F27" s="70" t="s">
        <v>23</v>
      </c>
      <c r="G27" s="70" t="s">
        <v>50</v>
      </c>
      <c r="H27" s="75" t="s">
        <v>31</v>
      </c>
    </row>
    <row r="28" spans="2:8">
      <c r="B28" s="162"/>
      <c r="C28" s="83"/>
      <c r="D28" s="92"/>
      <c r="E28" s="93"/>
      <c r="F28" s="85"/>
      <c r="G28" s="85" t="s">
        <v>51</v>
      </c>
      <c r="H28" s="87" t="s">
        <v>31</v>
      </c>
    </row>
    <row r="29" spans="2:8">
      <c r="B29" s="162"/>
      <c r="C29" s="88" t="s">
        <v>41</v>
      </c>
      <c r="D29" s="92"/>
      <c r="E29" s="68"/>
      <c r="F29" s="68"/>
      <c r="G29" s="68"/>
      <c r="H29" s="68"/>
    </row>
    <row r="30" spans="2:8">
      <c r="B30" s="162"/>
      <c r="C30" s="94" t="s">
        <v>52</v>
      </c>
      <c r="D30" s="92"/>
      <c r="E30" s="90" t="s">
        <v>53</v>
      </c>
      <c r="F30" s="78" t="s">
        <v>54</v>
      </c>
      <c r="G30" s="78" t="s">
        <v>55</v>
      </c>
      <c r="H30" s="91" t="s">
        <v>31</v>
      </c>
    </row>
    <row r="31" spans="2:8">
      <c r="B31" s="162"/>
      <c r="C31" s="95"/>
      <c r="D31" s="92"/>
      <c r="E31" s="93"/>
      <c r="F31" s="85"/>
      <c r="G31" s="85" t="s">
        <v>56</v>
      </c>
      <c r="H31" s="87"/>
    </row>
    <row r="32" spans="2:8">
      <c r="B32" s="162"/>
      <c r="C32" s="89"/>
      <c r="D32" s="68"/>
      <c r="E32" s="68"/>
      <c r="F32" s="68"/>
      <c r="G32" s="68"/>
      <c r="H32" s="68"/>
    </row>
    <row r="33" spans="2:8">
      <c r="B33" s="162"/>
      <c r="C33" s="94" t="s">
        <v>57</v>
      </c>
      <c r="D33" s="92"/>
      <c r="E33" s="90" t="s">
        <v>58</v>
      </c>
      <c r="F33" s="78" t="s">
        <v>59</v>
      </c>
      <c r="G33" s="78" t="s">
        <v>55</v>
      </c>
      <c r="H33" s="116" t="s">
        <v>31</v>
      </c>
    </row>
    <row r="34" spans="2:8">
      <c r="B34" s="162"/>
      <c r="C34" s="96"/>
      <c r="D34" s="92"/>
      <c r="E34" s="82"/>
      <c r="F34" s="70"/>
      <c r="G34" s="70" t="s">
        <v>56</v>
      </c>
      <c r="H34" s="117"/>
    </row>
    <row r="35" spans="2:8">
      <c r="B35" s="162"/>
      <c r="C35" s="95"/>
      <c r="D35" s="92"/>
      <c r="E35" s="93"/>
      <c r="F35" s="85"/>
      <c r="G35" s="85" t="s">
        <v>60</v>
      </c>
      <c r="H35" s="87"/>
    </row>
    <row r="36" spans="2:8">
      <c r="B36" s="162"/>
      <c r="C36" s="89"/>
      <c r="D36" s="92"/>
      <c r="E36" s="68"/>
      <c r="F36" s="68"/>
      <c r="G36" s="68"/>
      <c r="H36" s="68"/>
    </row>
    <row r="37" spans="2:8">
      <c r="B37" s="162"/>
      <c r="C37" s="94" t="s">
        <v>61</v>
      </c>
      <c r="D37" s="92"/>
      <c r="E37" s="90" t="s">
        <v>62</v>
      </c>
      <c r="F37" s="78" t="s">
        <v>63</v>
      </c>
      <c r="G37" s="78" t="s">
        <v>56</v>
      </c>
      <c r="H37" s="116" t="s">
        <v>31</v>
      </c>
    </row>
    <row r="38" spans="2:8">
      <c r="B38" s="162"/>
      <c r="C38" s="96"/>
      <c r="D38" s="92"/>
      <c r="E38" s="82" t="s">
        <v>64</v>
      </c>
      <c r="F38" s="70"/>
      <c r="G38" s="70" t="s">
        <v>60</v>
      </c>
      <c r="H38" s="75"/>
    </row>
    <row r="39" spans="2:8">
      <c r="B39" s="162"/>
      <c r="C39" s="95"/>
      <c r="D39" s="92"/>
      <c r="E39" s="93" t="s">
        <v>65</v>
      </c>
      <c r="F39" s="85"/>
      <c r="G39" s="85" t="s">
        <v>66</v>
      </c>
      <c r="H39" s="87"/>
    </row>
    <row r="40" spans="2:8">
      <c r="B40" s="162"/>
      <c r="C40" s="88" t="s">
        <v>41</v>
      </c>
      <c r="D40" s="92"/>
      <c r="E40" s="68"/>
      <c r="F40" s="68"/>
      <c r="G40" s="68"/>
      <c r="H40" s="68"/>
    </row>
    <row r="41" spans="2:8">
      <c r="B41" s="162"/>
      <c r="C41" s="94" t="s">
        <v>67</v>
      </c>
      <c r="D41" s="92"/>
      <c r="E41" s="90" t="s">
        <v>68</v>
      </c>
      <c r="F41" s="78" t="s">
        <v>44</v>
      </c>
      <c r="G41" s="78" t="s">
        <v>69</v>
      </c>
      <c r="H41" s="116" t="s">
        <v>31</v>
      </c>
    </row>
    <row r="42" spans="2:8">
      <c r="B42" s="162"/>
      <c r="C42" s="96"/>
      <c r="D42" s="92"/>
      <c r="E42" s="82" t="s">
        <v>70</v>
      </c>
      <c r="F42" s="70" t="s">
        <v>71</v>
      </c>
      <c r="G42" s="70" t="s">
        <v>72</v>
      </c>
      <c r="H42" s="117" t="s">
        <v>31</v>
      </c>
    </row>
    <row r="43" spans="2:8">
      <c r="B43" s="162"/>
      <c r="C43" s="96"/>
      <c r="D43" s="68"/>
      <c r="E43" s="82" t="s">
        <v>73</v>
      </c>
      <c r="F43" s="70" t="s">
        <v>74</v>
      </c>
      <c r="G43" s="70" t="s">
        <v>75</v>
      </c>
      <c r="H43" s="117" t="s">
        <v>31</v>
      </c>
    </row>
    <row r="44" spans="2:8">
      <c r="B44" s="162"/>
      <c r="C44" s="96"/>
      <c r="D44" s="68"/>
      <c r="E44" s="82" t="s">
        <v>76</v>
      </c>
      <c r="F44" s="70"/>
      <c r="G44" s="70" t="s">
        <v>77</v>
      </c>
      <c r="H44" s="117" t="s">
        <v>78</v>
      </c>
    </row>
    <row r="45" spans="2:8">
      <c r="B45" s="162"/>
      <c r="C45" s="95"/>
      <c r="D45" s="68"/>
      <c r="E45" s="93" t="s">
        <v>79</v>
      </c>
      <c r="F45" s="85"/>
      <c r="G45" s="85" t="s">
        <v>80</v>
      </c>
      <c r="H45" s="118" t="s">
        <v>78</v>
      </c>
    </row>
    <row r="46" spans="2:8">
      <c r="B46" s="162"/>
      <c r="C46" s="88" t="s">
        <v>41</v>
      </c>
      <c r="D46" s="68"/>
      <c r="E46" s="68"/>
      <c r="F46" s="68"/>
      <c r="G46" s="68"/>
      <c r="H46" s="68"/>
    </row>
    <row r="47" spans="2:8">
      <c r="B47" s="162"/>
      <c r="C47" s="97" t="s">
        <v>81</v>
      </c>
      <c r="D47" s="68"/>
      <c r="E47" s="90" t="s">
        <v>82</v>
      </c>
      <c r="F47" s="78" t="s">
        <v>83</v>
      </c>
      <c r="G47" s="78" t="s">
        <v>84</v>
      </c>
      <c r="H47" s="116" t="s">
        <v>31</v>
      </c>
    </row>
    <row r="48" spans="2:8">
      <c r="B48" s="162"/>
      <c r="C48" s="98"/>
      <c r="D48" s="68"/>
      <c r="E48" s="82" t="s">
        <v>85</v>
      </c>
      <c r="F48" s="70"/>
      <c r="G48" s="70" t="s">
        <v>86</v>
      </c>
      <c r="H48" s="117" t="s">
        <v>31</v>
      </c>
    </row>
    <row r="49" spans="2:8">
      <c r="B49" s="162"/>
      <c r="C49" s="98"/>
      <c r="D49" s="68"/>
      <c r="E49" s="82" t="s">
        <v>87</v>
      </c>
      <c r="F49" s="70"/>
      <c r="G49" s="70"/>
      <c r="H49" s="117" t="s">
        <v>31</v>
      </c>
    </row>
    <row r="50" spans="2:8">
      <c r="B50" s="162"/>
      <c r="C50" s="99"/>
      <c r="D50" s="68"/>
      <c r="E50" s="93" t="s">
        <v>88</v>
      </c>
      <c r="F50" s="85"/>
      <c r="G50" s="85"/>
      <c r="H50" s="118" t="s">
        <v>31</v>
      </c>
    </row>
    <row r="51" spans="2:8">
      <c r="B51" s="162"/>
      <c r="C51" s="88" t="s">
        <v>41</v>
      </c>
      <c r="D51" s="68"/>
      <c r="E51" s="68"/>
      <c r="F51" s="68"/>
      <c r="G51" s="68"/>
      <c r="H51" s="68"/>
    </row>
    <row r="52" spans="2:8">
      <c r="B52" s="162"/>
      <c r="C52" s="76" t="s">
        <v>89</v>
      </c>
      <c r="D52" s="68"/>
      <c r="E52" s="90" t="s">
        <v>90</v>
      </c>
      <c r="F52" s="78" t="s">
        <v>91</v>
      </c>
      <c r="G52" s="78" t="s">
        <v>92</v>
      </c>
      <c r="H52" s="116" t="s">
        <v>31</v>
      </c>
    </row>
    <row r="53" spans="2:8">
      <c r="B53" s="162"/>
      <c r="C53" s="80"/>
      <c r="D53" s="68"/>
      <c r="E53" s="82" t="s">
        <v>93</v>
      </c>
      <c r="F53" s="70" t="s">
        <v>94</v>
      </c>
      <c r="G53" s="70" t="s">
        <v>95</v>
      </c>
      <c r="H53" s="117"/>
    </row>
    <row r="54" spans="2:8">
      <c r="B54" s="162"/>
      <c r="C54" s="80"/>
      <c r="D54" s="68"/>
      <c r="E54" s="82"/>
      <c r="F54" s="70"/>
      <c r="G54" s="70" t="s">
        <v>96</v>
      </c>
      <c r="H54" s="117"/>
    </row>
    <row r="55" spans="2:8">
      <c r="B55" s="162"/>
      <c r="C55" s="83"/>
      <c r="D55" s="68"/>
      <c r="E55" s="93"/>
      <c r="F55" s="85"/>
      <c r="G55" s="85" t="s">
        <v>97</v>
      </c>
      <c r="H55" s="118"/>
    </row>
    <row r="56" spans="2:8">
      <c r="B56" s="162"/>
      <c r="C56" s="88" t="s">
        <v>41</v>
      </c>
      <c r="D56" s="68"/>
      <c r="E56" s="68"/>
      <c r="F56" s="68"/>
      <c r="G56" s="68"/>
      <c r="H56" s="68"/>
    </row>
    <row r="57" spans="2:8">
      <c r="B57" s="162"/>
      <c r="C57" s="76" t="s">
        <v>98</v>
      </c>
      <c r="D57" s="68"/>
      <c r="E57" s="90" t="s">
        <v>99</v>
      </c>
      <c r="F57" s="78" t="s">
        <v>100</v>
      </c>
      <c r="G57" s="78" t="s">
        <v>55</v>
      </c>
      <c r="H57" s="91" t="s">
        <v>31</v>
      </c>
    </row>
    <row r="58" spans="2:8">
      <c r="B58" s="162"/>
      <c r="C58" s="100"/>
      <c r="D58" s="68"/>
      <c r="E58" s="82" t="s">
        <v>101</v>
      </c>
      <c r="F58" s="70"/>
      <c r="G58" s="70" t="s">
        <v>102</v>
      </c>
      <c r="H58" s="75"/>
    </row>
    <row r="59" spans="2:8">
      <c r="B59" s="162"/>
      <c r="C59" s="101"/>
      <c r="D59" s="68"/>
      <c r="E59" s="93"/>
      <c r="F59" s="85"/>
      <c r="G59" s="85" t="s">
        <v>103</v>
      </c>
      <c r="H59" s="87"/>
    </row>
    <row r="60" spans="2:8">
      <c r="B60" s="162"/>
      <c r="C60" s="88" t="s">
        <v>41</v>
      </c>
      <c r="D60" s="68"/>
      <c r="E60" s="68"/>
      <c r="F60" s="68"/>
      <c r="G60" s="68"/>
      <c r="H60" s="68"/>
    </row>
    <row r="61" spans="2:8">
      <c r="B61" s="162"/>
      <c r="C61" s="94" t="s">
        <v>104</v>
      </c>
      <c r="D61" s="68"/>
      <c r="E61" s="90" t="s">
        <v>105</v>
      </c>
      <c r="F61" s="78" t="s">
        <v>106</v>
      </c>
      <c r="G61" s="78" t="s">
        <v>55</v>
      </c>
      <c r="H61" s="91" t="s">
        <v>31</v>
      </c>
    </row>
    <row r="62" spans="2:8">
      <c r="B62" s="162"/>
      <c r="C62" s="96"/>
      <c r="D62" s="68"/>
      <c r="E62" s="82"/>
      <c r="F62" s="70"/>
      <c r="G62" s="70" t="s">
        <v>107</v>
      </c>
      <c r="H62" s="75"/>
    </row>
    <row r="63" spans="2:8">
      <c r="B63" s="162"/>
      <c r="C63" s="95"/>
      <c r="D63" s="68"/>
      <c r="E63" s="93"/>
      <c r="F63" s="85"/>
      <c r="G63" s="85" t="s">
        <v>108</v>
      </c>
      <c r="H63" s="87"/>
    </row>
    <row r="64" spans="2:8">
      <c r="B64" s="162"/>
      <c r="C64" s="88"/>
      <c r="D64" s="68"/>
      <c r="E64" s="68"/>
      <c r="F64" s="68"/>
      <c r="G64" s="68"/>
      <c r="H64" s="68"/>
    </row>
    <row r="65" spans="2:8">
      <c r="B65" s="162"/>
      <c r="C65" s="94" t="s">
        <v>109</v>
      </c>
      <c r="D65" s="68"/>
      <c r="E65" s="90" t="s">
        <v>110</v>
      </c>
      <c r="F65" s="78" t="s">
        <v>111</v>
      </c>
      <c r="G65" s="78" t="s">
        <v>55</v>
      </c>
      <c r="H65" s="116" t="s">
        <v>31</v>
      </c>
    </row>
    <row r="66" spans="2:8">
      <c r="B66" s="162"/>
      <c r="C66" s="96"/>
      <c r="D66" s="68"/>
      <c r="E66" s="93" t="s">
        <v>112</v>
      </c>
      <c r="F66" s="85"/>
      <c r="G66" s="85" t="s">
        <v>113</v>
      </c>
      <c r="H66" s="87"/>
    </row>
    <row r="67" spans="2:8">
      <c r="B67" s="162"/>
      <c r="C67" s="88"/>
      <c r="D67" s="68"/>
      <c r="E67" s="68"/>
      <c r="F67" s="68"/>
      <c r="G67" s="68"/>
      <c r="H67" s="68"/>
    </row>
    <row r="68" spans="2:8">
      <c r="B68" s="162"/>
      <c r="C68" s="94" t="s">
        <v>114</v>
      </c>
      <c r="D68" s="68"/>
      <c r="E68" s="90" t="s">
        <v>115</v>
      </c>
      <c r="F68" s="78" t="s">
        <v>116</v>
      </c>
      <c r="G68" s="78" t="s">
        <v>117</v>
      </c>
      <c r="H68" s="91" t="s">
        <v>31</v>
      </c>
    </row>
    <row r="69" spans="2:8">
      <c r="B69" s="162"/>
      <c r="C69" s="95"/>
      <c r="D69" s="68"/>
      <c r="E69" s="93"/>
      <c r="F69" s="85"/>
      <c r="G69" s="85" t="s">
        <v>118</v>
      </c>
      <c r="H69" s="87"/>
    </row>
    <row r="70" spans="2:8">
      <c r="B70" s="162"/>
      <c r="C70" s="88"/>
      <c r="D70" s="68"/>
      <c r="E70" s="68"/>
      <c r="F70" s="68"/>
      <c r="G70" s="68"/>
      <c r="H70" s="68"/>
    </row>
    <row r="71" spans="2:8">
      <c r="B71" s="162"/>
      <c r="C71" s="94" t="s">
        <v>119</v>
      </c>
      <c r="D71" s="68"/>
      <c r="E71" s="90" t="s">
        <v>120</v>
      </c>
      <c r="F71" s="78" t="s">
        <v>44</v>
      </c>
      <c r="G71" s="78" t="s">
        <v>55</v>
      </c>
      <c r="H71" s="91" t="s">
        <v>31</v>
      </c>
    </row>
    <row r="72" spans="2:8">
      <c r="B72" s="162"/>
      <c r="C72" s="95"/>
      <c r="D72" s="68"/>
      <c r="E72" s="93" t="s">
        <v>121</v>
      </c>
      <c r="F72" s="85"/>
      <c r="G72" s="85"/>
      <c r="H72" s="87"/>
    </row>
    <row r="73" spans="2:8">
      <c r="B73" s="162"/>
      <c r="C73" s="88" t="s">
        <v>41</v>
      </c>
      <c r="D73" s="68"/>
      <c r="E73" s="68"/>
      <c r="F73" s="68"/>
      <c r="G73" s="68"/>
      <c r="H73" s="68"/>
    </row>
    <row r="74" spans="2:8">
      <c r="B74" s="162" t="s">
        <v>122</v>
      </c>
      <c r="C74" s="102" t="s">
        <v>122</v>
      </c>
      <c r="D74" s="68"/>
      <c r="E74" s="90" t="s">
        <v>123</v>
      </c>
      <c r="F74" s="78" t="s">
        <v>124</v>
      </c>
      <c r="G74" s="78" t="s">
        <v>125</v>
      </c>
      <c r="H74" s="91" t="s">
        <v>126</v>
      </c>
    </row>
    <row r="75" spans="2:8">
      <c r="B75" s="162"/>
      <c r="C75" s="103"/>
      <c r="D75" s="68"/>
      <c r="E75" s="93"/>
      <c r="F75" s="85"/>
      <c r="G75" s="85" t="s">
        <v>127</v>
      </c>
      <c r="H75" s="87"/>
    </row>
    <row r="76" spans="2:8">
      <c r="B76" s="162"/>
      <c r="C76" s="104" t="s">
        <v>41</v>
      </c>
      <c r="D76" s="68"/>
      <c r="E76" s="68"/>
      <c r="F76" s="68"/>
      <c r="G76" s="68"/>
      <c r="H76" s="68"/>
    </row>
    <row r="77" spans="2:8">
      <c r="B77" s="162" t="s">
        <v>128</v>
      </c>
      <c r="C77" s="105" t="s">
        <v>129</v>
      </c>
      <c r="D77" s="68"/>
      <c r="E77" s="106" t="s">
        <v>130</v>
      </c>
      <c r="F77" s="107" t="s">
        <v>131</v>
      </c>
      <c r="G77" s="107" t="s">
        <v>56</v>
      </c>
      <c r="H77" s="112" t="s">
        <v>31</v>
      </c>
    </row>
    <row r="78" spans="2:8">
      <c r="B78" s="162"/>
      <c r="C78" s="88" t="s">
        <v>41</v>
      </c>
      <c r="D78" s="68"/>
      <c r="E78" s="68"/>
      <c r="F78" s="68"/>
      <c r="G78" s="68"/>
      <c r="H78" s="68"/>
    </row>
    <row r="79" spans="2:8">
      <c r="B79" s="162"/>
      <c r="C79" s="108" t="s">
        <v>132</v>
      </c>
      <c r="D79" s="68"/>
      <c r="E79" s="90" t="s">
        <v>133</v>
      </c>
      <c r="F79" s="78" t="s">
        <v>134</v>
      </c>
      <c r="G79" s="78" t="s">
        <v>135</v>
      </c>
      <c r="H79" s="116" t="s">
        <v>31</v>
      </c>
    </row>
    <row r="80" spans="2:8">
      <c r="B80" s="162"/>
      <c r="C80" s="83"/>
      <c r="D80" s="68"/>
      <c r="E80" s="93" t="s">
        <v>136</v>
      </c>
      <c r="F80" s="85"/>
      <c r="G80" s="85" t="s">
        <v>137</v>
      </c>
      <c r="H80" s="87"/>
    </row>
    <row r="81" spans="2:8">
      <c r="B81" s="162"/>
      <c r="C81" s="88" t="s">
        <v>41</v>
      </c>
      <c r="D81" s="68"/>
      <c r="E81" s="68"/>
      <c r="F81" s="68"/>
      <c r="G81" s="68"/>
      <c r="H81" s="68"/>
    </row>
    <row r="82" spans="2:8">
      <c r="B82" s="162"/>
      <c r="C82" s="109" t="s">
        <v>138</v>
      </c>
      <c r="D82" s="68"/>
      <c r="E82" s="90" t="s">
        <v>139</v>
      </c>
      <c r="F82" s="78" t="s">
        <v>140</v>
      </c>
      <c r="G82" s="78" t="s">
        <v>141</v>
      </c>
      <c r="H82" s="91" t="s">
        <v>126</v>
      </c>
    </row>
    <row r="83" spans="2:8">
      <c r="B83" s="162"/>
      <c r="C83" s="110"/>
      <c r="D83" s="68"/>
      <c r="E83" s="93"/>
      <c r="F83" s="85"/>
      <c r="G83" s="85" t="s">
        <v>142</v>
      </c>
      <c r="H83" s="87"/>
    </row>
    <row r="84" spans="2:8">
      <c r="B84" s="162"/>
      <c r="C84" s="88"/>
      <c r="D84" s="68"/>
      <c r="E84" s="68"/>
      <c r="F84" s="68"/>
      <c r="G84" s="68"/>
      <c r="H84" s="68"/>
    </row>
    <row r="85" spans="2:8">
      <c r="B85" s="162"/>
      <c r="C85" s="94" t="s">
        <v>143</v>
      </c>
      <c r="D85" s="68"/>
      <c r="E85" s="90" t="s">
        <v>144</v>
      </c>
      <c r="F85" s="78" t="s">
        <v>111</v>
      </c>
      <c r="G85" s="78" t="s">
        <v>55</v>
      </c>
      <c r="H85" s="91" t="s">
        <v>31</v>
      </c>
    </row>
    <row r="86" spans="2:8">
      <c r="B86" s="162"/>
      <c r="C86" s="95"/>
      <c r="D86" s="68"/>
      <c r="E86" s="93" t="s">
        <v>145</v>
      </c>
      <c r="F86" s="85"/>
      <c r="G86" s="85" t="s">
        <v>113</v>
      </c>
      <c r="H86" s="87"/>
    </row>
    <row r="87" spans="2:8">
      <c r="B87" s="162"/>
      <c r="C87" s="88"/>
      <c r="D87" s="68"/>
      <c r="E87" s="68"/>
      <c r="F87" s="68"/>
      <c r="G87" s="68"/>
      <c r="H87" s="68"/>
    </row>
    <row r="88" spans="2:8">
      <c r="B88" s="162"/>
      <c r="C88" s="94" t="s">
        <v>146</v>
      </c>
      <c r="D88" s="68"/>
      <c r="E88" s="90" t="s">
        <v>147</v>
      </c>
      <c r="F88" s="78" t="s">
        <v>116</v>
      </c>
      <c r="G88" s="78" t="s">
        <v>117</v>
      </c>
      <c r="H88" s="91" t="s">
        <v>31</v>
      </c>
    </row>
    <row r="89" spans="2:8">
      <c r="B89" s="162"/>
      <c r="C89" s="96"/>
      <c r="D89" s="68"/>
      <c r="E89" s="82" t="s">
        <v>148</v>
      </c>
      <c r="F89" s="70"/>
      <c r="G89" s="70" t="s">
        <v>149</v>
      </c>
      <c r="H89" s="75" t="s">
        <v>150</v>
      </c>
    </row>
    <row r="90" spans="2:8">
      <c r="B90" s="162"/>
      <c r="C90" s="96"/>
      <c r="D90" s="68"/>
      <c r="E90" s="82"/>
      <c r="F90" s="70"/>
      <c r="G90" s="70" t="s">
        <v>151</v>
      </c>
      <c r="H90" s="75"/>
    </row>
    <row r="91" spans="2:8">
      <c r="B91" s="162"/>
      <c r="C91" s="95"/>
      <c r="D91" s="68"/>
      <c r="E91" s="93"/>
      <c r="F91" s="85"/>
      <c r="G91" s="85" t="s">
        <v>152</v>
      </c>
      <c r="H91" s="87"/>
    </row>
    <row r="92" spans="2:8">
      <c r="B92" s="162"/>
      <c r="C92" s="111"/>
      <c r="D92" s="68"/>
      <c r="E92" s="70"/>
      <c r="F92" s="70"/>
      <c r="G92" s="70"/>
      <c r="H92" s="68"/>
    </row>
    <row r="93" spans="2:8">
      <c r="B93" s="162"/>
      <c r="C93" s="94" t="s">
        <v>104</v>
      </c>
      <c r="D93" s="68"/>
      <c r="E93" s="90" t="s">
        <v>153</v>
      </c>
      <c r="F93" s="78" t="s">
        <v>106</v>
      </c>
      <c r="G93" s="78" t="s">
        <v>55</v>
      </c>
      <c r="H93" s="91" t="s">
        <v>31</v>
      </c>
    </row>
    <row r="94" spans="2:8">
      <c r="B94" s="162"/>
      <c r="C94" s="96"/>
      <c r="D94" s="68"/>
      <c r="E94" s="82"/>
      <c r="F94" s="70"/>
      <c r="G94" s="70" t="s">
        <v>107</v>
      </c>
      <c r="H94" s="75"/>
    </row>
    <row r="95" spans="2:8">
      <c r="B95" s="162"/>
      <c r="C95" s="95"/>
      <c r="D95" s="68"/>
      <c r="E95" s="93"/>
      <c r="F95" s="85"/>
      <c r="G95" s="85" t="s">
        <v>108</v>
      </c>
      <c r="H95" s="87"/>
    </row>
    <row r="96" spans="2:8">
      <c r="B96" s="162"/>
      <c r="C96" s="111"/>
      <c r="D96" s="68"/>
      <c r="E96" s="68"/>
      <c r="F96" s="68"/>
      <c r="G96" s="68"/>
      <c r="H96" s="68"/>
    </row>
    <row r="97" spans="2:8">
      <c r="B97" s="162"/>
      <c r="C97" s="105" t="s">
        <v>154</v>
      </c>
      <c r="D97" s="68"/>
      <c r="E97" s="106" t="s">
        <v>155</v>
      </c>
      <c r="F97" s="107" t="s">
        <v>44</v>
      </c>
      <c r="G97" s="107" t="s">
        <v>156</v>
      </c>
      <c r="H97" s="119" t="s">
        <v>31</v>
      </c>
    </row>
    <row r="98" spans="2:8">
      <c r="B98" s="162"/>
      <c r="C98" s="88"/>
      <c r="D98" s="68"/>
      <c r="E98" s="68"/>
      <c r="F98" s="68"/>
      <c r="G98" s="68"/>
      <c r="H98" s="68"/>
    </row>
    <row r="99" spans="2:8">
      <c r="B99" s="162"/>
      <c r="C99" s="105" t="s">
        <v>157</v>
      </c>
      <c r="D99" s="68"/>
      <c r="E99" s="106" t="s">
        <v>158</v>
      </c>
      <c r="F99" s="107" t="s">
        <v>159</v>
      </c>
      <c r="G99" s="107" t="s">
        <v>160</v>
      </c>
      <c r="H99" s="112" t="s">
        <v>126</v>
      </c>
    </row>
    <row r="100" spans="2:8">
      <c r="B100" s="162"/>
      <c r="C100" s="88" t="s">
        <v>41</v>
      </c>
      <c r="D100" s="68"/>
      <c r="E100" s="68"/>
      <c r="F100" s="68"/>
      <c r="G100" s="68"/>
      <c r="H100" s="68"/>
    </row>
    <row r="101" spans="2:8">
      <c r="B101" s="162"/>
      <c r="C101" s="97" t="s">
        <v>161</v>
      </c>
      <c r="D101" s="68"/>
      <c r="E101" s="90" t="s">
        <v>162</v>
      </c>
      <c r="F101" s="78" t="s">
        <v>83</v>
      </c>
      <c r="G101" s="78" t="s">
        <v>84</v>
      </c>
      <c r="H101" s="116" t="s">
        <v>31</v>
      </c>
    </row>
    <row r="102" spans="2:8">
      <c r="B102" s="162"/>
      <c r="C102" s="98"/>
      <c r="D102" s="68"/>
      <c r="E102" s="93"/>
      <c r="F102" s="85"/>
      <c r="G102" s="85" t="s">
        <v>86</v>
      </c>
      <c r="H102" s="118"/>
    </row>
    <row r="103" spans="2:8">
      <c r="B103" s="162"/>
      <c r="C103" s="88" t="s">
        <v>41</v>
      </c>
      <c r="D103" s="68"/>
      <c r="E103" s="68"/>
      <c r="F103" s="68"/>
      <c r="G103" s="68"/>
      <c r="H103" s="68"/>
    </row>
    <row r="104" spans="2:8">
      <c r="B104" s="162"/>
      <c r="C104" s="102" t="s">
        <v>163</v>
      </c>
      <c r="D104" s="68"/>
      <c r="E104" s="90" t="s">
        <v>164</v>
      </c>
      <c r="F104" s="78" t="s">
        <v>165</v>
      </c>
      <c r="G104" s="78" t="s">
        <v>166</v>
      </c>
      <c r="H104" s="91" t="s">
        <v>31</v>
      </c>
    </row>
    <row r="105" spans="2:8">
      <c r="B105" s="162"/>
      <c r="C105" s="113"/>
      <c r="D105" s="68"/>
      <c r="E105" s="82" t="s">
        <v>167</v>
      </c>
      <c r="F105" s="70" t="s">
        <v>134</v>
      </c>
      <c r="G105" s="70" t="s">
        <v>167</v>
      </c>
      <c r="H105" s="75"/>
    </row>
    <row r="106" spans="2:8">
      <c r="B106" s="162"/>
      <c r="C106" s="113"/>
      <c r="D106" s="68"/>
      <c r="E106" s="82" t="s">
        <v>168</v>
      </c>
      <c r="F106" s="70" t="s">
        <v>169</v>
      </c>
      <c r="G106" s="70" t="s">
        <v>170</v>
      </c>
      <c r="H106" s="75"/>
    </row>
    <row r="107" spans="2:8">
      <c r="B107" s="162"/>
      <c r="C107" s="103"/>
      <c r="D107" s="68"/>
      <c r="E107" s="93" t="s">
        <v>171</v>
      </c>
      <c r="F107" s="85" t="s">
        <v>44</v>
      </c>
      <c r="G107" s="85" t="s">
        <v>172</v>
      </c>
      <c r="H107" s="87" t="s">
        <v>31</v>
      </c>
    </row>
    <row r="108" spans="2:8">
      <c r="B108" s="162"/>
      <c r="C108" s="88"/>
      <c r="D108" s="68"/>
      <c r="E108" s="68"/>
      <c r="F108" s="68"/>
      <c r="G108" s="68"/>
      <c r="H108" s="68"/>
    </row>
    <row r="109" spans="2:8">
      <c r="B109" s="162"/>
      <c r="C109" s="163" t="s">
        <v>173</v>
      </c>
      <c r="D109" s="68"/>
      <c r="E109" s="90" t="s">
        <v>174</v>
      </c>
      <c r="F109" s="78" t="s">
        <v>44</v>
      </c>
      <c r="G109" s="78"/>
      <c r="H109" s="91" t="s">
        <v>31</v>
      </c>
    </row>
    <row r="110" spans="2:8">
      <c r="B110" s="162"/>
      <c r="C110" s="164"/>
      <c r="D110" s="68"/>
      <c r="E110" s="93" t="s">
        <v>175</v>
      </c>
      <c r="F110" s="85" t="s">
        <v>176</v>
      </c>
      <c r="G110" s="85"/>
      <c r="H110" s="87"/>
    </row>
    <row r="111" spans="2:8">
      <c r="B111" s="114"/>
      <c r="C111" s="114"/>
      <c r="D111" s="114"/>
      <c r="E111" s="114"/>
      <c r="F111" s="114"/>
      <c r="G111" s="114"/>
      <c r="H111" s="114"/>
    </row>
    <row r="112" spans="2:8">
      <c r="B112" s="114"/>
      <c r="C112" s="114"/>
      <c r="D112" s="114"/>
      <c r="E112" s="114"/>
      <c r="F112" s="114"/>
      <c r="G112" s="114"/>
      <c r="H112" s="114"/>
    </row>
    <row r="113" spans="2:8">
      <c r="B113" s="114"/>
      <c r="C113" s="114"/>
      <c r="D113" s="114"/>
      <c r="E113" s="114"/>
      <c r="F113" s="114"/>
      <c r="G113" s="114"/>
      <c r="H113" s="114"/>
    </row>
    <row r="114" spans="2:8">
      <c r="B114" s="114"/>
      <c r="C114" s="114"/>
      <c r="D114" s="114"/>
      <c r="E114" s="114"/>
      <c r="F114" s="114"/>
      <c r="G114" s="114"/>
      <c r="H114" s="114"/>
    </row>
    <row r="115" spans="2:8">
      <c r="B115" s="114"/>
      <c r="C115" s="114"/>
      <c r="D115" s="114"/>
      <c r="E115" s="114"/>
      <c r="F115" s="114"/>
      <c r="G115" s="114"/>
      <c r="H115" s="114"/>
    </row>
    <row r="116" spans="2:8">
      <c r="B116" s="114"/>
      <c r="C116" s="114"/>
      <c r="D116" s="114"/>
      <c r="E116" s="114"/>
      <c r="F116" s="114"/>
      <c r="G116" s="114"/>
      <c r="H116" s="114"/>
    </row>
    <row r="117" spans="2:8">
      <c r="B117" s="114"/>
      <c r="C117" s="114"/>
      <c r="D117" s="114"/>
      <c r="E117" s="114"/>
      <c r="F117" s="114"/>
      <c r="G117" s="114"/>
      <c r="H117" s="114"/>
    </row>
    <row r="118" spans="2:8">
      <c r="B118" s="114"/>
      <c r="C118" s="114"/>
      <c r="D118" s="114"/>
      <c r="E118" s="114"/>
      <c r="F118" s="114"/>
      <c r="G118" s="114"/>
      <c r="H118" s="114"/>
    </row>
    <row r="119" spans="2:8">
      <c r="B119" s="114"/>
      <c r="C119" s="114"/>
      <c r="D119" s="114"/>
      <c r="E119" s="114"/>
      <c r="F119" s="114"/>
      <c r="G119" s="114"/>
      <c r="H119" s="114"/>
    </row>
    <row r="120" spans="2:8">
      <c r="B120" s="114"/>
      <c r="C120" s="114"/>
      <c r="D120" s="114"/>
      <c r="E120" s="114"/>
      <c r="F120" s="114"/>
      <c r="G120" s="114"/>
      <c r="H120" s="114"/>
    </row>
    <row r="121" spans="2:8">
      <c r="B121" s="114"/>
      <c r="C121" s="114"/>
      <c r="D121" s="114"/>
      <c r="E121" s="114"/>
      <c r="F121" s="114"/>
      <c r="G121" s="114"/>
      <c r="H121" s="114"/>
    </row>
    <row r="122" spans="2:8">
      <c r="B122" s="114"/>
      <c r="C122" s="114"/>
      <c r="D122" s="114"/>
      <c r="E122" s="114"/>
      <c r="F122" s="114"/>
      <c r="G122" s="114"/>
      <c r="H122" s="114"/>
    </row>
    <row r="123" spans="2:8">
      <c r="B123" s="114"/>
      <c r="C123" s="114"/>
      <c r="D123" s="114"/>
      <c r="E123" s="114"/>
      <c r="F123" s="114"/>
      <c r="G123" s="114"/>
      <c r="H123" s="114"/>
    </row>
    <row r="124" spans="2:8">
      <c r="B124" s="114"/>
      <c r="C124" s="114"/>
      <c r="D124" s="114"/>
      <c r="E124" s="114"/>
      <c r="F124" s="114"/>
      <c r="G124" s="114"/>
      <c r="H124" s="114"/>
    </row>
    <row r="125" spans="2:8">
      <c r="B125" s="114"/>
      <c r="C125" s="114"/>
      <c r="D125" s="114"/>
      <c r="E125" s="114"/>
      <c r="F125" s="114"/>
      <c r="G125" s="114"/>
      <c r="H125" s="114"/>
    </row>
    <row r="126" spans="2:8">
      <c r="B126" s="114"/>
      <c r="C126" s="114"/>
      <c r="D126" s="114"/>
      <c r="E126" s="114"/>
      <c r="F126" s="114"/>
      <c r="G126" s="114"/>
      <c r="H126" s="114"/>
    </row>
    <row r="127" spans="2:8">
      <c r="B127" s="114"/>
      <c r="C127" s="114"/>
      <c r="D127" s="114"/>
      <c r="E127" s="114"/>
      <c r="F127" s="114"/>
      <c r="G127" s="114"/>
      <c r="H127" s="114"/>
    </row>
    <row r="128" spans="2:8">
      <c r="B128" s="114"/>
      <c r="C128" s="114"/>
      <c r="D128" s="114"/>
      <c r="E128" s="114"/>
      <c r="F128" s="114"/>
      <c r="G128" s="114"/>
      <c r="H128" s="114"/>
    </row>
    <row r="129" spans="2:8">
      <c r="B129" s="114"/>
      <c r="C129" s="114"/>
      <c r="D129" s="114"/>
      <c r="E129" s="114"/>
      <c r="F129" s="114"/>
      <c r="G129" s="114"/>
      <c r="H129" s="114"/>
    </row>
    <row r="130" spans="2:8">
      <c r="B130" s="114"/>
      <c r="C130" s="114"/>
      <c r="D130" s="114"/>
      <c r="E130" s="114"/>
      <c r="F130" s="114"/>
      <c r="G130" s="114"/>
      <c r="H130" s="114"/>
    </row>
    <row r="131" spans="2:8">
      <c r="B131" s="114"/>
      <c r="C131" s="114"/>
      <c r="D131" s="114"/>
      <c r="E131" s="114"/>
      <c r="F131" s="114"/>
      <c r="G131" s="114"/>
      <c r="H131" s="114"/>
    </row>
    <row r="132" spans="2:8">
      <c r="B132" s="114"/>
      <c r="C132" s="114"/>
      <c r="D132" s="114"/>
      <c r="E132" s="114"/>
      <c r="F132" s="114"/>
      <c r="G132" s="114"/>
      <c r="H132" s="114"/>
    </row>
    <row r="133" spans="2:8">
      <c r="B133" s="114"/>
      <c r="C133" s="114"/>
      <c r="D133" s="114"/>
      <c r="E133" s="114"/>
      <c r="F133" s="114"/>
      <c r="G133" s="114"/>
      <c r="H133" s="114"/>
    </row>
    <row r="134" spans="2:8">
      <c r="B134" s="114"/>
      <c r="C134" s="114"/>
      <c r="D134" s="114"/>
      <c r="E134" s="114"/>
      <c r="F134" s="114"/>
      <c r="G134" s="114"/>
      <c r="H134" s="114"/>
    </row>
    <row r="135" spans="2:8">
      <c r="B135" s="114"/>
      <c r="C135" s="114"/>
      <c r="D135" s="114"/>
      <c r="E135" s="114"/>
      <c r="F135" s="114"/>
      <c r="G135" s="114"/>
      <c r="H135" s="114"/>
    </row>
    <row r="136" spans="2:8">
      <c r="B136" s="114"/>
      <c r="C136" s="114"/>
      <c r="D136" s="114"/>
      <c r="E136" s="114"/>
      <c r="F136" s="114"/>
      <c r="G136" s="114"/>
      <c r="H136" s="114"/>
    </row>
    <row r="137" spans="2:8">
      <c r="B137" s="114"/>
      <c r="C137" s="114"/>
      <c r="D137" s="114"/>
      <c r="E137" s="114"/>
      <c r="F137" s="114"/>
      <c r="G137" s="114"/>
      <c r="H137" s="114"/>
    </row>
    <row r="138" spans="2:8">
      <c r="B138" s="114"/>
      <c r="C138" s="114"/>
      <c r="D138" s="114"/>
      <c r="E138" s="114"/>
      <c r="F138" s="114"/>
      <c r="G138" s="114"/>
      <c r="H138" s="114"/>
    </row>
    <row r="139" spans="2:8">
      <c r="B139" s="114"/>
      <c r="C139" s="114"/>
      <c r="D139" s="114"/>
      <c r="E139" s="114"/>
      <c r="F139" s="114"/>
      <c r="G139" s="114"/>
      <c r="H139" s="114"/>
    </row>
    <row r="140" spans="2:8">
      <c r="B140" s="114"/>
      <c r="C140" s="114"/>
      <c r="D140" s="114"/>
      <c r="E140" s="114"/>
      <c r="F140" s="114"/>
      <c r="G140" s="114"/>
      <c r="H140" s="114"/>
    </row>
    <row r="141" spans="2:8">
      <c r="B141" s="114"/>
      <c r="C141" s="114"/>
      <c r="D141" s="114"/>
      <c r="E141" s="114"/>
      <c r="F141" s="114"/>
      <c r="G141" s="114"/>
      <c r="H141" s="114"/>
    </row>
    <row r="142" spans="2:8">
      <c r="B142" s="114"/>
      <c r="C142" s="114"/>
      <c r="D142" s="114"/>
      <c r="E142" s="114"/>
      <c r="F142" s="114"/>
      <c r="G142" s="114"/>
      <c r="H142" s="114"/>
    </row>
    <row r="143" spans="2:8">
      <c r="B143" s="114"/>
      <c r="C143" s="114"/>
      <c r="D143" s="114"/>
      <c r="E143" s="114"/>
      <c r="F143" s="114"/>
      <c r="G143" s="114"/>
      <c r="H143" s="114"/>
    </row>
    <row r="144" spans="2:8">
      <c r="B144" s="114"/>
      <c r="C144" s="114"/>
      <c r="D144" s="114"/>
      <c r="E144" s="114"/>
      <c r="F144" s="114"/>
      <c r="G144" s="114"/>
      <c r="H144" s="114"/>
    </row>
    <row r="145" spans="2:8">
      <c r="B145" s="114"/>
      <c r="C145" s="114"/>
      <c r="D145" s="114"/>
      <c r="E145" s="114"/>
      <c r="F145" s="114"/>
      <c r="G145" s="114"/>
      <c r="H145" s="114"/>
    </row>
    <row r="146" spans="2:8">
      <c r="B146" s="114"/>
      <c r="C146" s="114"/>
      <c r="D146" s="114"/>
      <c r="E146" s="114"/>
      <c r="F146" s="114"/>
      <c r="G146" s="114"/>
      <c r="H146" s="114"/>
    </row>
    <row r="147" spans="2:8">
      <c r="B147" s="114"/>
      <c r="C147" s="114"/>
      <c r="D147" s="114"/>
      <c r="E147" s="114"/>
      <c r="F147" s="114"/>
      <c r="G147" s="114"/>
      <c r="H147" s="114"/>
    </row>
    <row r="148" spans="2:8">
      <c r="B148" s="114"/>
      <c r="C148" s="114"/>
      <c r="D148" s="114"/>
      <c r="E148" s="114"/>
      <c r="F148" s="114"/>
      <c r="G148" s="114"/>
      <c r="H148" s="114"/>
    </row>
    <row r="149" spans="2:8">
      <c r="B149" s="114"/>
      <c r="C149" s="114"/>
      <c r="D149" s="114"/>
      <c r="E149" s="114"/>
      <c r="F149" s="114"/>
      <c r="G149" s="114"/>
      <c r="H149" s="114"/>
    </row>
    <row r="150" spans="2:8">
      <c r="B150" s="114"/>
      <c r="C150" s="114"/>
      <c r="D150" s="114"/>
      <c r="E150" s="114"/>
      <c r="F150" s="114"/>
      <c r="G150" s="114"/>
      <c r="H150" s="114"/>
    </row>
    <row r="151" spans="2:8">
      <c r="B151" s="114"/>
      <c r="C151" s="114"/>
      <c r="D151" s="114"/>
      <c r="E151" s="114"/>
      <c r="F151" s="114"/>
      <c r="G151" s="114"/>
      <c r="H151" s="114"/>
    </row>
    <row r="152" spans="2:8">
      <c r="B152" s="114"/>
      <c r="C152" s="114"/>
      <c r="D152" s="114"/>
      <c r="E152" s="114"/>
      <c r="F152" s="114"/>
      <c r="G152" s="114"/>
      <c r="H152" s="114"/>
    </row>
    <row r="153" spans="2:8">
      <c r="B153" s="114"/>
      <c r="C153" s="114"/>
      <c r="D153" s="114"/>
      <c r="E153" s="114"/>
      <c r="F153" s="114"/>
      <c r="G153" s="114"/>
      <c r="H153" s="114"/>
    </row>
    <row r="154" spans="2:8">
      <c r="B154" s="114"/>
      <c r="C154" s="114"/>
      <c r="D154" s="114"/>
      <c r="E154" s="114"/>
      <c r="F154" s="114"/>
      <c r="G154" s="114"/>
      <c r="H154" s="114"/>
    </row>
    <row r="155" spans="2:8">
      <c r="B155" s="114"/>
      <c r="C155" s="114"/>
      <c r="D155" s="114"/>
      <c r="E155" s="114"/>
      <c r="F155" s="114"/>
      <c r="G155" s="114"/>
      <c r="H155" s="114"/>
    </row>
    <row r="156" spans="2:8">
      <c r="B156" s="114"/>
      <c r="C156" s="114"/>
      <c r="D156" s="114"/>
      <c r="E156" s="114"/>
      <c r="F156" s="114"/>
      <c r="G156" s="114"/>
      <c r="H156" s="114"/>
    </row>
    <row r="157" spans="2:8">
      <c r="B157" s="114"/>
      <c r="C157" s="114"/>
      <c r="D157" s="114"/>
      <c r="E157" s="114"/>
      <c r="F157" s="114"/>
      <c r="G157" s="114"/>
      <c r="H157" s="114"/>
    </row>
    <row r="158" spans="2:8">
      <c r="B158" s="114"/>
      <c r="C158" s="114"/>
      <c r="D158" s="114"/>
      <c r="E158" s="114"/>
      <c r="F158" s="114"/>
      <c r="G158" s="114"/>
      <c r="H158" s="114"/>
    </row>
    <row r="159" spans="2:8">
      <c r="B159" s="114"/>
      <c r="C159" s="114"/>
      <c r="D159" s="114"/>
      <c r="E159" s="114"/>
      <c r="F159" s="114"/>
      <c r="G159" s="114"/>
      <c r="H159" s="114"/>
    </row>
    <row r="160" spans="2:8">
      <c r="B160" s="114"/>
      <c r="C160" s="114"/>
      <c r="D160" s="114"/>
      <c r="E160" s="114"/>
      <c r="F160" s="114"/>
      <c r="G160" s="114"/>
      <c r="H160" s="114"/>
    </row>
    <row r="161" spans="2:8">
      <c r="B161" s="114"/>
      <c r="C161" s="114"/>
      <c r="D161" s="114"/>
      <c r="E161" s="114"/>
      <c r="F161" s="114"/>
      <c r="G161" s="114"/>
      <c r="H161" s="114"/>
    </row>
    <row r="162" spans="2:8">
      <c r="B162" s="114"/>
      <c r="C162" s="114"/>
      <c r="D162" s="114"/>
      <c r="E162" s="114"/>
      <c r="F162" s="114"/>
      <c r="G162" s="114"/>
      <c r="H162" s="114"/>
    </row>
    <row r="163" spans="2:8">
      <c r="B163" s="114"/>
      <c r="C163" s="114"/>
      <c r="D163" s="114"/>
      <c r="E163" s="114"/>
      <c r="F163" s="114"/>
      <c r="G163" s="114"/>
      <c r="H163" s="114"/>
    </row>
    <row r="164" spans="2:8">
      <c r="B164" s="114"/>
      <c r="C164" s="114"/>
      <c r="D164" s="114"/>
      <c r="E164" s="114"/>
      <c r="F164" s="114"/>
      <c r="G164" s="114"/>
      <c r="H164" s="114"/>
    </row>
    <row r="165" spans="2:8">
      <c r="B165" s="114"/>
      <c r="C165" s="114"/>
      <c r="D165" s="114"/>
      <c r="E165" s="114"/>
      <c r="F165" s="114"/>
      <c r="G165" s="114"/>
      <c r="H165" s="114"/>
    </row>
    <row r="166" spans="2:8">
      <c r="B166" s="114"/>
      <c r="C166" s="114"/>
      <c r="D166" s="114"/>
      <c r="E166" s="114"/>
      <c r="F166" s="114"/>
      <c r="G166" s="114"/>
      <c r="H166" s="114"/>
    </row>
    <row r="167" spans="2:8">
      <c r="B167" s="114"/>
      <c r="C167" s="114"/>
      <c r="D167" s="114"/>
      <c r="E167" s="114"/>
      <c r="F167" s="114"/>
      <c r="G167" s="114"/>
      <c r="H167" s="114"/>
    </row>
    <row r="168" spans="2:8">
      <c r="B168" s="114"/>
      <c r="C168" s="114"/>
      <c r="D168" s="114"/>
      <c r="E168" s="114"/>
      <c r="F168" s="114"/>
      <c r="G168" s="114"/>
      <c r="H168" s="114"/>
    </row>
    <row r="169" spans="2:8">
      <c r="B169" s="114"/>
      <c r="C169" s="114"/>
      <c r="D169" s="114"/>
      <c r="E169" s="114"/>
      <c r="F169" s="114"/>
      <c r="G169" s="114"/>
      <c r="H169" s="114"/>
    </row>
    <row r="170" spans="2:8">
      <c r="B170" s="114"/>
      <c r="C170" s="114"/>
      <c r="D170" s="114"/>
      <c r="E170" s="114"/>
      <c r="F170" s="114"/>
      <c r="G170" s="114"/>
      <c r="H170" s="114"/>
    </row>
    <row r="171" spans="2:8">
      <c r="B171" s="114"/>
      <c r="C171" s="114"/>
      <c r="D171" s="114"/>
      <c r="E171" s="114"/>
      <c r="F171" s="114"/>
      <c r="G171" s="114"/>
      <c r="H171" s="114"/>
    </row>
    <row r="172" spans="2:8">
      <c r="B172" s="114"/>
      <c r="C172" s="114"/>
      <c r="D172" s="114"/>
      <c r="E172" s="114"/>
      <c r="F172" s="114"/>
      <c r="G172" s="114"/>
      <c r="H172" s="114"/>
    </row>
    <row r="173" spans="2:8">
      <c r="B173" s="114"/>
      <c r="C173" s="114"/>
      <c r="D173" s="114"/>
      <c r="E173" s="114"/>
      <c r="F173" s="114"/>
      <c r="G173" s="114"/>
      <c r="H173" s="114"/>
    </row>
    <row r="174" spans="2:8">
      <c r="B174" s="114"/>
      <c r="C174" s="114"/>
      <c r="D174" s="114"/>
      <c r="E174" s="114"/>
      <c r="F174" s="114"/>
      <c r="G174" s="114"/>
      <c r="H174" s="114"/>
    </row>
    <row r="175" spans="2:8">
      <c r="B175" s="114"/>
      <c r="C175" s="114"/>
      <c r="D175" s="114"/>
      <c r="E175" s="114"/>
      <c r="F175" s="114"/>
      <c r="G175" s="114"/>
      <c r="H175" s="114"/>
    </row>
    <row r="176" spans="2:8">
      <c r="B176" s="114"/>
      <c r="C176" s="114"/>
      <c r="D176" s="114"/>
      <c r="E176" s="114"/>
      <c r="F176" s="114"/>
      <c r="G176" s="114"/>
      <c r="H176" s="114"/>
    </row>
  </sheetData>
  <mergeCells count="5">
    <mergeCell ref="B2:D6"/>
    <mergeCell ref="B13:B73"/>
    <mergeCell ref="B74:B76"/>
    <mergeCell ref="B77:B110"/>
    <mergeCell ref="C109:C1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3695-2E2E-4559-8944-D55AEBAE9D1A}">
  <dimension ref="B2:J23"/>
  <sheetViews>
    <sheetView showGridLines="0" zoomScaleNormal="100" workbookViewId="0">
      <selection activeCell="D14" sqref="D14"/>
    </sheetView>
  </sheetViews>
  <sheetFormatPr defaultColWidth="11.53515625" defaultRowHeight="17.5"/>
  <cols>
    <col min="1" max="1" width="3.4609375" customWidth="1"/>
    <col min="2" max="2" width="20.07421875" customWidth="1"/>
    <col min="3" max="3" width="24.3046875" customWidth="1"/>
    <col min="4" max="4" width="45.69140625" customWidth="1"/>
    <col min="5" max="6" width="32.84375" customWidth="1"/>
    <col min="7" max="7" width="15.69140625" bestFit="1" customWidth="1"/>
    <col min="8" max="8" width="13.69140625" customWidth="1"/>
    <col min="9" max="9" width="24.3046875" customWidth="1"/>
    <col min="10" max="10" width="31.07421875" customWidth="1"/>
  </cols>
  <sheetData>
    <row r="2" spans="2:10" ht="18" customHeight="1">
      <c r="B2" s="161" t="s">
        <v>177</v>
      </c>
      <c r="C2" s="161"/>
      <c r="D2" s="161"/>
      <c r="I2" s="32"/>
      <c r="J2" s="33"/>
    </row>
    <row r="3" spans="2:10" ht="17.5" customHeight="1">
      <c r="B3" s="161"/>
      <c r="C3" s="161"/>
      <c r="D3" s="161"/>
      <c r="E3" s="29" t="s">
        <v>178</v>
      </c>
      <c r="I3" s="34"/>
      <c r="J3" s="35"/>
    </row>
    <row r="4" spans="2:10" ht="17.5" customHeight="1">
      <c r="B4" s="161"/>
      <c r="C4" s="161"/>
      <c r="D4" s="161"/>
      <c r="E4" s="29" t="s">
        <v>179</v>
      </c>
      <c r="I4" s="34"/>
      <c r="J4" s="35"/>
    </row>
    <row r="5" spans="2:10" ht="17.5" customHeight="1">
      <c r="B5" s="161"/>
      <c r="C5" s="161"/>
      <c r="D5" s="161"/>
      <c r="E5" s="29" t="s">
        <v>180</v>
      </c>
      <c r="I5" s="34"/>
      <c r="J5" s="35"/>
    </row>
    <row r="6" spans="2:10" ht="18" customHeight="1">
      <c r="B6" s="161"/>
      <c r="C6" s="161"/>
      <c r="D6" s="161"/>
      <c r="I6" s="34"/>
      <c r="J6" s="35"/>
    </row>
    <row r="7" spans="2:10">
      <c r="B7" s="29"/>
      <c r="I7" s="34"/>
      <c r="J7" s="36"/>
    </row>
    <row r="8" spans="2:10" ht="22" customHeight="1">
      <c r="B8" s="49" t="s">
        <v>181</v>
      </c>
      <c r="C8" s="47" t="s">
        <v>182</v>
      </c>
      <c r="D8" s="47" t="s">
        <v>183</v>
      </c>
      <c r="E8" s="50" t="s">
        <v>184</v>
      </c>
      <c r="F8" s="50" t="s">
        <v>185</v>
      </c>
      <c r="G8" s="50" t="s">
        <v>186</v>
      </c>
      <c r="H8" s="51" t="s">
        <v>187</v>
      </c>
      <c r="I8" s="51" t="s">
        <v>188</v>
      </c>
      <c r="J8" s="45" t="s">
        <v>189</v>
      </c>
    </row>
    <row r="9" spans="2:10">
      <c r="B9" s="60"/>
      <c r="C9" s="58"/>
      <c r="D9" s="48"/>
      <c r="E9" s="44"/>
      <c r="F9" s="44"/>
      <c r="G9" s="44"/>
      <c r="H9" s="52"/>
      <c r="I9" s="52"/>
      <c r="J9" s="53"/>
    </row>
    <row r="10" spans="2:10">
      <c r="B10" s="60"/>
      <c r="C10" s="58"/>
      <c r="D10" s="48"/>
      <c r="E10" s="44"/>
      <c r="F10" s="44"/>
      <c r="G10" s="44"/>
      <c r="H10" s="52"/>
      <c r="I10" s="52"/>
      <c r="J10" s="53"/>
    </row>
    <row r="11" spans="2:10">
      <c r="B11" s="60"/>
      <c r="C11" s="58"/>
      <c r="D11" s="48"/>
      <c r="E11" s="44"/>
      <c r="F11" s="44"/>
      <c r="G11" s="44"/>
      <c r="H11" s="52"/>
      <c r="I11" s="52"/>
      <c r="J11" s="53"/>
    </row>
    <row r="12" spans="2:10">
      <c r="B12" s="60"/>
      <c r="C12" s="58"/>
      <c r="D12" s="48"/>
      <c r="E12" s="44"/>
      <c r="F12" s="44"/>
      <c r="G12" s="44"/>
      <c r="H12" s="52"/>
      <c r="I12" s="52"/>
      <c r="J12" s="53"/>
    </row>
    <row r="13" spans="2:10">
      <c r="B13" s="60"/>
      <c r="C13" s="59"/>
      <c r="D13" s="57"/>
      <c r="E13" s="44"/>
      <c r="F13" s="44"/>
      <c r="G13" s="44"/>
      <c r="H13" s="52"/>
      <c r="I13" s="52"/>
      <c r="J13" s="53"/>
    </row>
    <row r="14" spans="2:10">
      <c r="B14" s="60"/>
      <c r="C14" s="58"/>
      <c r="D14" s="48"/>
      <c r="E14" s="44"/>
      <c r="F14" s="44"/>
      <c r="G14" s="44"/>
      <c r="H14" s="52"/>
      <c r="I14" s="52"/>
      <c r="J14" s="53"/>
    </row>
    <row r="15" spans="2:10">
      <c r="B15" s="60"/>
      <c r="C15" s="58"/>
      <c r="D15" s="48"/>
      <c r="E15" s="43"/>
      <c r="F15" s="43"/>
      <c r="G15" s="43"/>
      <c r="H15" s="54"/>
      <c r="I15" s="54"/>
      <c r="J15" s="55"/>
    </row>
    <row r="16" spans="2:10">
      <c r="B16" s="60"/>
      <c r="C16" s="58"/>
      <c r="D16" s="48"/>
      <c r="E16" s="43"/>
      <c r="F16" s="43"/>
      <c r="G16" s="43"/>
      <c r="H16" s="56"/>
      <c r="I16" s="56"/>
      <c r="J16" s="55"/>
    </row>
    <row r="17" spans="2:10">
      <c r="B17" s="60"/>
      <c r="C17" s="58"/>
      <c r="D17" s="48"/>
      <c r="E17" s="43"/>
      <c r="F17" s="43"/>
      <c r="G17" s="43"/>
      <c r="H17" s="56"/>
      <c r="I17" s="56"/>
      <c r="J17" s="55"/>
    </row>
    <row r="18" spans="2:10">
      <c r="B18" s="60"/>
      <c r="C18" s="58"/>
      <c r="D18" s="48"/>
      <c r="E18" s="43"/>
      <c r="F18" s="43"/>
      <c r="G18" s="43"/>
      <c r="H18" s="56"/>
      <c r="I18" s="56"/>
      <c r="J18" s="55"/>
    </row>
    <row r="19" spans="2:10">
      <c r="B19" s="60"/>
      <c r="C19" s="58"/>
      <c r="D19" s="48"/>
      <c r="E19" s="43"/>
      <c r="F19" s="43"/>
      <c r="G19" s="43"/>
      <c r="H19" s="56"/>
      <c r="I19" s="56"/>
      <c r="J19" s="55"/>
    </row>
    <row r="20" spans="2:10">
      <c r="B20" s="60"/>
      <c r="C20" s="58"/>
      <c r="D20" s="48"/>
      <c r="E20" s="43"/>
      <c r="F20" s="43"/>
      <c r="G20" s="43"/>
      <c r="H20" s="56"/>
      <c r="I20" s="56"/>
      <c r="J20" s="55"/>
    </row>
    <row r="21" spans="2:10">
      <c r="B21" s="60"/>
      <c r="C21" s="58"/>
      <c r="D21" s="48"/>
      <c r="E21" s="43"/>
      <c r="F21" s="43"/>
      <c r="G21" s="43"/>
      <c r="H21" s="56"/>
      <c r="I21" s="56"/>
      <c r="J21" s="55"/>
    </row>
    <row r="22" spans="2:10">
      <c r="B22" s="60"/>
      <c r="C22" s="58"/>
      <c r="D22" s="48"/>
      <c r="E22" s="43"/>
      <c r="F22" s="43"/>
      <c r="G22" s="43"/>
      <c r="H22" s="56"/>
      <c r="I22" s="56"/>
      <c r="J22" s="55"/>
    </row>
    <row r="23" spans="2:10">
      <c r="B23" s="60"/>
      <c r="C23" s="58"/>
      <c r="D23" s="48"/>
      <c r="E23" s="43"/>
      <c r="F23" s="43"/>
      <c r="G23" s="43"/>
      <c r="H23" s="56"/>
      <c r="I23" s="56"/>
      <c r="J23" s="55"/>
    </row>
  </sheetData>
  <mergeCells count="1">
    <mergeCell ref="B2:D6"/>
  </mergeCells>
  <phoneticPr fontId="2" type="noConversion"/>
  <dataValidations count="3">
    <dataValidation type="textLength" operator="greaterThan" showInputMessage="1" showErrorMessage="1" errorTitle="Please provide a valid input" error="Please type the appropriate reason." promptTitle="Please confirm:" prompt="Please provide valid reason if the comment is rejected. If you have accepted a comment to rephrase, please provide the valid input." sqref="I2" xr:uid="{4A0EF05F-C4EB-4F19-812C-3420190554ED}">
      <formula1>3</formula1>
    </dataValidation>
    <dataValidation type="textLength" operator="greaterThan" allowBlank="1" showInputMessage="1" showErrorMessage="1" errorTitle="Please enter a valid input" error="Type the author's name here" sqref="I4:I6" xr:uid="{BC2288A8-784F-4A41-96E3-4A9C35B46352}">
      <formula1>0</formula1>
    </dataValidation>
    <dataValidation type="textLength" operator="greaterThan" allowBlank="1" showInputMessage="1" showErrorMessage="1" errorTitle="Please enter a valid input" error="Type the name of the editor (technical writer) here." sqref="I3" xr:uid="{86048F06-CEBE-4072-8553-63BEEE47F2FB}">
      <formula1>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118A-04A8-4382-B7BE-76E1A1667142}">
  <dimension ref="B1:L115"/>
  <sheetViews>
    <sheetView showGridLines="0" tabSelected="1" zoomScale="125" zoomScaleNormal="110" workbookViewId="0">
      <pane xSplit="5" ySplit="10" topLeftCell="F11" activePane="bottomRight" state="frozen"/>
      <selection pane="topRight"/>
      <selection pane="bottomLeft"/>
      <selection pane="bottomRight" activeCell="G12" sqref="G12"/>
    </sheetView>
  </sheetViews>
  <sheetFormatPr defaultColWidth="11.53515625" defaultRowHeight="17.5"/>
  <cols>
    <col min="1" max="1" width="3.4609375" customWidth="1"/>
    <col min="2" max="2" width="23.69140625" customWidth="1"/>
    <col min="3" max="3" width="37.84375" hidden="1" customWidth="1"/>
    <col min="4" max="4" width="6.07421875" style="128" customWidth="1"/>
    <col min="5" max="5" width="89.07421875" bestFit="1" customWidth="1"/>
    <col min="6" max="8" width="24.3046875" customWidth="1"/>
    <col min="9" max="9" width="18.69140625" customWidth="1"/>
    <col min="10" max="10" width="24.3046875" customWidth="1"/>
    <col min="11" max="11" width="12.69140625" customWidth="1"/>
    <col min="12" max="12" width="31.07421875" customWidth="1"/>
  </cols>
  <sheetData>
    <row r="1" spans="2:12" ht="18" thickBot="1"/>
    <row r="2" spans="2:12" ht="18" customHeight="1" thickBot="1">
      <c r="B2" s="161" t="s">
        <v>190</v>
      </c>
      <c r="C2" s="161"/>
      <c r="J2" s="6"/>
      <c r="K2" s="2" t="s">
        <v>191</v>
      </c>
      <c r="L2" s="2" t="s">
        <v>192</v>
      </c>
    </row>
    <row r="3" spans="2:12" ht="17.5" customHeight="1">
      <c r="B3" s="161"/>
      <c r="C3" s="161"/>
      <c r="J3" s="3" t="s">
        <v>193</v>
      </c>
      <c r="K3" s="7">
        <f>COUNTIF(K11:K316, "OK")+COUNTIF(K11:K316, "기검증")</f>
        <v>0</v>
      </c>
      <c r="L3" s="8">
        <f>K3/(K3+K4+K5+K6+K8+K7)</f>
        <v>0</v>
      </c>
    </row>
    <row r="4" spans="2:12" ht="17.5" customHeight="1">
      <c r="B4" s="161"/>
      <c r="C4" s="161"/>
      <c r="J4" s="146" t="s">
        <v>194</v>
      </c>
      <c r="K4" s="9">
        <f>COUNTIF(K10:K315, "웨이버")</f>
        <v>0</v>
      </c>
      <c r="L4" s="10">
        <f>K4/(K3+K4+K5+K7+K6+K8)</f>
        <v>0</v>
      </c>
    </row>
    <row r="5" spans="2:12">
      <c r="B5" s="161"/>
      <c r="C5" s="161"/>
      <c r="E5" s="29" t="s">
        <v>178</v>
      </c>
      <c r="J5" s="4" t="s">
        <v>195</v>
      </c>
      <c r="K5" s="9">
        <f>COUNTIF(K11:K316, "미진행")</f>
        <v>105</v>
      </c>
      <c r="L5" s="10">
        <f>K5/(K3+K4+K5+K6+K8+K7)</f>
        <v>1</v>
      </c>
    </row>
    <row r="6" spans="2:12">
      <c r="B6" s="161"/>
      <c r="C6" s="161"/>
      <c r="E6" s="29" t="s">
        <v>179</v>
      </c>
      <c r="J6" s="4" t="s">
        <v>196</v>
      </c>
      <c r="K6" s="9">
        <f>COUNTIF(K11:K316, "해당사항없음")</f>
        <v>0</v>
      </c>
      <c r="L6" s="10">
        <f>K6/(K3+K4+K5+K6+K8+K7)</f>
        <v>0</v>
      </c>
    </row>
    <row r="7" spans="2:12">
      <c r="B7" s="161"/>
      <c r="C7" s="161"/>
      <c r="E7" s="29" t="s">
        <v>180</v>
      </c>
      <c r="J7" s="5" t="s">
        <v>197</v>
      </c>
      <c r="K7" s="9">
        <f>COUNTIF(K11:K317, "불충분")</f>
        <v>0</v>
      </c>
      <c r="L7" s="13">
        <f>K7/(K3+K5+K4+K6+K8+K7)</f>
        <v>0</v>
      </c>
    </row>
    <row r="8" spans="2:12" ht="18" thickBot="1">
      <c r="B8" s="161"/>
      <c r="C8" s="161"/>
      <c r="J8" s="5" t="s">
        <v>198</v>
      </c>
      <c r="K8" s="11">
        <f>COUNTIF(K11:K317, "진행중")</f>
        <v>0</v>
      </c>
      <c r="L8" s="13">
        <f>K8/(K3+K4+K5+K6+K8+K7)</f>
        <v>0</v>
      </c>
    </row>
    <row r="9" spans="2:12">
      <c r="B9" s="29"/>
      <c r="C9" s="29"/>
      <c r="J9" s="27" t="s">
        <v>199</v>
      </c>
      <c r="K9" s="14" t="str">
        <f>CONCATENATE(K3+K4,"/",K3+K4+K5+K7+K8)</f>
        <v>0/105</v>
      </c>
      <c r="L9" s="28">
        <f>(K3+K4)/(K3+K4+K5+K7+K8)</f>
        <v>0</v>
      </c>
    </row>
    <row r="10" spans="2:12" ht="22" customHeight="1">
      <c r="B10" s="49" t="s">
        <v>181</v>
      </c>
      <c r="C10" s="65" t="s">
        <v>200</v>
      </c>
      <c r="D10" s="120" t="s">
        <v>201</v>
      </c>
      <c r="E10" s="66" t="s">
        <v>202</v>
      </c>
      <c r="F10" s="50" t="s">
        <v>203</v>
      </c>
      <c r="G10" s="50" t="s">
        <v>204</v>
      </c>
      <c r="H10" s="50" t="s">
        <v>205</v>
      </c>
      <c r="I10" s="51" t="s">
        <v>187</v>
      </c>
      <c r="J10" s="51" t="s">
        <v>188</v>
      </c>
      <c r="K10" s="46" t="s">
        <v>206</v>
      </c>
      <c r="L10" s="45" t="s">
        <v>189</v>
      </c>
    </row>
    <row r="11" spans="2:12" ht="48">
      <c r="B11" s="165" t="s">
        <v>207</v>
      </c>
      <c r="C11" s="134" t="s">
        <v>208</v>
      </c>
      <c r="D11" s="121">
        <v>1.1000000000000001</v>
      </c>
      <c r="E11" s="130" t="s">
        <v>209</v>
      </c>
      <c r="F11" s="44"/>
      <c r="G11" s="44"/>
      <c r="H11" s="44"/>
      <c r="I11" s="52"/>
      <c r="J11" s="52"/>
      <c r="K11" s="42" t="s">
        <v>523</v>
      </c>
      <c r="L11" s="53"/>
    </row>
    <row r="12" spans="2:12" ht="160">
      <c r="B12" s="165"/>
      <c r="C12" s="134" t="s">
        <v>210</v>
      </c>
      <c r="D12" s="121">
        <v>1.2</v>
      </c>
      <c r="E12" s="130" t="s">
        <v>211</v>
      </c>
      <c r="F12" s="44"/>
      <c r="G12" s="44"/>
      <c r="H12" s="44"/>
      <c r="I12" s="52"/>
      <c r="J12" s="52"/>
      <c r="K12" s="42" t="s">
        <v>523</v>
      </c>
      <c r="L12" s="53"/>
    </row>
    <row r="13" spans="2:12" ht="160">
      <c r="B13" s="165"/>
      <c r="C13" s="134" t="s">
        <v>212</v>
      </c>
      <c r="D13" s="121">
        <v>1.3</v>
      </c>
      <c r="E13" s="130" t="s">
        <v>213</v>
      </c>
      <c r="F13" s="44"/>
      <c r="G13" s="157"/>
      <c r="H13" s="44"/>
      <c r="I13" s="52"/>
      <c r="J13" s="52"/>
      <c r="K13" s="42" t="s">
        <v>523</v>
      </c>
      <c r="L13" s="53"/>
    </row>
    <row r="14" spans="2:12" ht="32">
      <c r="B14" s="165"/>
      <c r="C14" s="134" t="s">
        <v>214</v>
      </c>
      <c r="D14" s="121">
        <v>1.4</v>
      </c>
      <c r="E14" s="130" t="s">
        <v>215</v>
      </c>
      <c r="F14" s="44"/>
      <c r="G14" s="44"/>
      <c r="H14" s="44"/>
      <c r="I14" s="52"/>
      <c r="J14" s="52"/>
      <c r="K14" s="42" t="s">
        <v>523</v>
      </c>
      <c r="L14" s="53"/>
    </row>
    <row r="15" spans="2:12" ht="32">
      <c r="B15" s="165"/>
      <c r="C15" s="134" t="s">
        <v>216</v>
      </c>
      <c r="D15" s="122">
        <v>1.5</v>
      </c>
      <c r="E15" s="130" t="s">
        <v>217</v>
      </c>
      <c r="F15" s="44"/>
      <c r="G15" s="44"/>
      <c r="H15" s="44"/>
      <c r="I15" s="52"/>
      <c r="J15" s="52"/>
      <c r="K15" s="42" t="s">
        <v>523</v>
      </c>
      <c r="L15" s="53"/>
    </row>
    <row r="16" spans="2:12" ht="112">
      <c r="B16" s="165"/>
      <c r="C16" s="134" t="s">
        <v>218</v>
      </c>
      <c r="D16" s="121">
        <v>1.6</v>
      </c>
      <c r="E16" s="156" t="s">
        <v>219</v>
      </c>
      <c r="F16" s="44"/>
      <c r="G16" s="44"/>
      <c r="H16" s="44"/>
      <c r="I16" s="52"/>
      <c r="J16" s="52"/>
      <c r="K16" s="42" t="s">
        <v>523</v>
      </c>
      <c r="L16" s="53"/>
    </row>
    <row r="17" spans="2:12" ht="112">
      <c r="B17" s="165"/>
      <c r="C17" s="134" t="s">
        <v>220</v>
      </c>
      <c r="D17" s="121">
        <v>1.7</v>
      </c>
      <c r="E17" s="130" t="s">
        <v>221</v>
      </c>
      <c r="F17" s="43"/>
      <c r="G17" s="43"/>
      <c r="H17" s="43"/>
      <c r="I17" s="54"/>
      <c r="J17" s="54"/>
      <c r="K17" s="42" t="s">
        <v>523</v>
      </c>
      <c r="L17" s="55"/>
    </row>
    <row r="18" spans="2:12" ht="96">
      <c r="B18" s="165"/>
      <c r="C18" s="134" t="s">
        <v>222</v>
      </c>
      <c r="D18" s="121">
        <v>1.8</v>
      </c>
      <c r="E18" s="130" t="s">
        <v>223</v>
      </c>
      <c r="F18" s="43"/>
      <c r="G18" s="43"/>
      <c r="H18" s="43"/>
      <c r="I18" s="56"/>
      <c r="J18" s="56"/>
      <c r="K18" s="42" t="s">
        <v>523</v>
      </c>
      <c r="L18" s="55"/>
    </row>
    <row r="19" spans="2:12">
      <c r="B19" s="165" t="s">
        <v>224</v>
      </c>
      <c r="C19" s="134" t="s">
        <v>225</v>
      </c>
      <c r="D19" s="121">
        <v>2.1</v>
      </c>
      <c r="E19" s="129" t="s">
        <v>226</v>
      </c>
      <c r="F19" s="43"/>
      <c r="G19" s="43"/>
      <c r="H19" s="43"/>
      <c r="I19" s="56"/>
      <c r="J19" s="56"/>
      <c r="K19" s="42" t="s">
        <v>523</v>
      </c>
      <c r="L19" s="55"/>
    </row>
    <row r="20" spans="2:12" ht="32">
      <c r="B20" s="165"/>
      <c r="C20" s="134" t="s">
        <v>227</v>
      </c>
      <c r="D20" s="121">
        <v>2.2000000000000002</v>
      </c>
      <c r="E20" s="130" t="s">
        <v>228</v>
      </c>
      <c r="F20" s="43"/>
      <c r="G20" s="43"/>
      <c r="H20" s="43"/>
      <c r="I20" s="56"/>
      <c r="J20" s="56"/>
      <c r="K20" s="42" t="s">
        <v>523</v>
      </c>
      <c r="L20" s="55"/>
    </row>
    <row r="21" spans="2:12" ht="64">
      <c r="B21" s="165"/>
      <c r="C21" s="134" t="s">
        <v>229</v>
      </c>
      <c r="D21" s="121">
        <v>2.2999999999999998</v>
      </c>
      <c r="E21" s="130" t="s">
        <v>230</v>
      </c>
      <c r="F21" s="43"/>
      <c r="G21" s="43"/>
      <c r="H21" s="43"/>
      <c r="I21" s="56"/>
      <c r="J21" s="56"/>
      <c r="K21" s="42" t="s">
        <v>523</v>
      </c>
      <c r="L21" s="55"/>
    </row>
    <row r="22" spans="2:12" ht="48">
      <c r="B22" s="165"/>
      <c r="C22" s="134" t="s">
        <v>231</v>
      </c>
      <c r="D22" s="121">
        <v>2.4</v>
      </c>
      <c r="E22" s="130" t="s">
        <v>232</v>
      </c>
      <c r="F22" s="43"/>
      <c r="G22" s="43"/>
      <c r="H22" s="43"/>
      <c r="I22" s="56"/>
      <c r="J22" s="56"/>
      <c r="K22" s="42" t="s">
        <v>523</v>
      </c>
      <c r="L22" s="55"/>
    </row>
    <row r="23" spans="2:12" ht="96">
      <c r="B23" s="165"/>
      <c r="C23" s="134" t="s">
        <v>233</v>
      </c>
      <c r="D23" s="121">
        <v>2.5</v>
      </c>
      <c r="E23" s="130" t="s">
        <v>234</v>
      </c>
      <c r="F23" s="43"/>
      <c r="G23" s="43"/>
      <c r="H23" s="43"/>
      <c r="I23" s="56"/>
      <c r="J23" s="56"/>
      <c r="K23" s="42" t="s">
        <v>523</v>
      </c>
      <c r="L23" s="55"/>
    </row>
    <row r="24" spans="2:12" ht="96">
      <c r="B24" s="165"/>
      <c r="C24" s="134" t="s">
        <v>235</v>
      </c>
      <c r="D24" s="121">
        <v>2.6</v>
      </c>
      <c r="E24" s="130" t="s">
        <v>236</v>
      </c>
      <c r="F24" s="43"/>
      <c r="G24" s="43"/>
      <c r="H24" s="44"/>
      <c r="I24" s="56"/>
      <c r="J24" s="56"/>
      <c r="K24" s="42" t="s">
        <v>523</v>
      </c>
      <c r="L24" s="55"/>
    </row>
    <row r="25" spans="2:12" ht="48">
      <c r="B25" s="165"/>
      <c r="C25" s="134" t="s">
        <v>237</v>
      </c>
      <c r="D25" s="121">
        <v>2.7</v>
      </c>
      <c r="E25" s="130" t="s">
        <v>238</v>
      </c>
      <c r="F25" s="43"/>
      <c r="G25" s="43"/>
      <c r="H25" s="43"/>
      <c r="I25" s="56"/>
      <c r="J25" s="56"/>
      <c r="K25" s="42" t="s">
        <v>523</v>
      </c>
      <c r="L25" s="55"/>
    </row>
    <row r="26" spans="2:12" ht="80">
      <c r="B26" s="165"/>
      <c r="C26" s="134" t="s">
        <v>239</v>
      </c>
      <c r="D26" s="123">
        <v>2.8</v>
      </c>
      <c r="E26" s="130" t="s">
        <v>240</v>
      </c>
      <c r="F26" s="43"/>
      <c r="G26" s="44"/>
      <c r="H26" s="44"/>
      <c r="I26" s="56"/>
      <c r="J26" s="56"/>
      <c r="K26" s="42" t="s">
        <v>523</v>
      </c>
      <c r="L26" s="55"/>
    </row>
    <row r="27" spans="2:12" ht="160">
      <c r="B27" s="165"/>
      <c r="C27" s="134" t="s">
        <v>241</v>
      </c>
      <c r="D27" s="121">
        <v>2.9</v>
      </c>
      <c r="E27" s="156" t="s">
        <v>242</v>
      </c>
      <c r="F27" s="43"/>
      <c r="G27" s="43"/>
      <c r="H27" s="43"/>
      <c r="I27" s="56"/>
      <c r="J27" s="56"/>
      <c r="K27" s="42" t="s">
        <v>523</v>
      </c>
      <c r="L27" s="55"/>
    </row>
    <row r="28" spans="2:12" ht="48">
      <c r="B28" s="165"/>
      <c r="C28" s="134" t="s">
        <v>243</v>
      </c>
      <c r="D28" s="121" t="s">
        <v>244</v>
      </c>
      <c r="E28" s="130" t="s">
        <v>245</v>
      </c>
      <c r="F28" s="43"/>
      <c r="G28" s="43"/>
      <c r="H28" s="43"/>
      <c r="I28" s="56"/>
      <c r="J28" s="56"/>
      <c r="K28" s="42" t="s">
        <v>523</v>
      </c>
      <c r="L28" s="55"/>
    </row>
    <row r="29" spans="2:12" ht="128">
      <c r="B29" s="165"/>
      <c r="C29" s="134" t="s">
        <v>246</v>
      </c>
      <c r="D29" s="121" t="s">
        <v>247</v>
      </c>
      <c r="E29" s="130" t="s">
        <v>248</v>
      </c>
      <c r="F29" s="43"/>
      <c r="G29" s="43"/>
      <c r="H29" s="44"/>
      <c r="I29" s="56"/>
      <c r="J29" s="56"/>
      <c r="K29" s="42" t="s">
        <v>523</v>
      </c>
      <c r="L29" s="55"/>
    </row>
    <row r="30" spans="2:12" ht="34">
      <c r="B30" s="165"/>
      <c r="C30" s="134" t="s">
        <v>249</v>
      </c>
      <c r="D30" s="121" t="s">
        <v>250</v>
      </c>
      <c r="E30" s="130" t="s">
        <v>251</v>
      </c>
      <c r="F30" s="43"/>
      <c r="G30" s="43"/>
      <c r="H30" s="43"/>
      <c r="I30" s="56"/>
      <c r="J30" s="56"/>
      <c r="K30" s="42" t="s">
        <v>523</v>
      </c>
      <c r="L30" s="55"/>
    </row>
    <row r="31" spans="2:12" ht="34">
      <c r="B31" s="165"/>
      <c r="C31" s="134" t="s">
        <v>252</v>
      </c>
      <c r="D31" s="121" t="s">
        <v>253</v>
      </c>
      <c r="E31" s="130" t="s">
        <v>251</v>
      </c>
      <c r="F31" s="43"/>
      <c r="G31" s="43"/>
      <c r="H31" s="43"/>
      <c r="I31" s="56"/>
      <c r="J31" s="56"/>
      <c r="K31" s="42" t="s">
        <v>523</v>
      </c>
      <c r="L31" s="55"/>
    </row>
    <row r="32" spans="2:12" ht="48">
      <c r="B32" s="165"/>
      <c r="C32" s="134" t="s">
        <v>254</v>
      </c>
      <c r="D32" s="121" t="s">
        <v>255</v>
      </c>
      <c r="E32" s="130" t="s">
        <v>245</v>
      </c>
      <c r="F32" s="43"/>
      <c r="G32" s="43"/>
      <c r="H32" s="43"/>
      <c r="I32" s="56"/>
      <c r="J32" s="56"/>
      <c r="K32" s="42" t="s">
        <v>523</v>
      </c>
      <c r="L32" s="55"/>
    </row>
    <row r="33" spans="2:12" ht="128">
      <c r="B33" s="165"/>
      <c r="C33" s="134" t="s">
        <v>256</v>
      </c>
      <c r="D33" s="124" t="s">
        <v>257</v>
      </c>
      <c r="E33" s="130" t="s">
        <v>258</v>
      </c>
      <c r="F33" s="43"/>
      <c r="G33" s="44"/>
      <c r="H33" s="43"/>
      <c r="I33" s="56"/>
      <c r="J33" s="56"/>
      <c r="K33" s="42" t="s">
        <v>523</v>
      </c>
      <c r="L33" s="55"/>
    </row>
    <row r="34" spans="2:12">
      <c r="B34" s="165"/>
      <c r="C34" s="134" t="s">
        <v>259</v>
      </c>
      <c r="D34" s="121" t="s">
        <v>260</v>
      </c>
      <c r="E34" s="131" t="s">
        <v>261</v>
      </c>
      <c r="F34" s="43"/>
      <c r="G34" s="43"/>
      <c r="H34" s="43"/>
      <c r="I34" s="56"/>
      <c r="J34" s="56"/>
      <c r="K34" s="42" t="s">
        <v>523</v>
      </c>
      <c r="L34" s="55"/>
    </row>
    <row r="35" spans="2:12" ht="96">
      <c r="B35" s="166" t="s">
        <v>262</v>
      </c>
      <c r="C35" s="135" t="s">
        <v>263</v>
      </c>
      <c r="D35" s="121" t="s">
        <v>264</v>
      </c>
      <c r="E35" s="139" t="s">
        <v>265</v>
      </c>
      <c r="F35" s="43"/>
      <c r="G35" s="43"/>
      <c r="H35" s="43"/>
      <c r="I35" s="56"/>
      <c r="J35" s="56"/>
      <c r="K35" s="42" t="s">
        <v>523</v>
      </c>
      <c r="L35" s="55"/>
    </row>
    <row r="36" spans="2:12" ht="34.5" customHeight="1">
      <c r="B36" s="166"/>
      <c r="C36" s="135" t="s">
        <v>266</v>
      </c>
      <c r="D36" s="121" t="s">
        <v>267</v>
      </c>
      <c r="E36" s="139" t="s">
        <v>268</v>
      </c>
      <c r="F36" s="43"/>
      <c r="G36" s="158"/>
      <c r="H36" s="44"/>
      <c r="I36" s="56"/>
      <c r="J36" s="56"/>
      <c r="K36" s="42" t="s">
        <v>523</v>
      </c>
      <c r="L36" s="55"/>
    </row>
    <row r="37" spans="2:12" ht="48">
      <c r="B37" s="127" t="s">
        <v>269</v>
      </c>
      <c r="C37" s="135" t="s">
        <v>270</v>
      </c>
      <c r="D37" s="125" t="s">
        <v>271</v>
      </c>
      <c r="E37" s="139" t="s">
        <v>272</v>
      </c>
      <c r="F37" s="43"/>
      <c r="G37" s="43"/>
      <c r="H37" s="43"/>
      <c r="I37" s="56"/>
      <c r="J37" s="56"/>
      <c r="K37" s="42" t="s">
        <v>523</v>
      </c>
      <c r="L37" s="55"/>
    </row>
    <row r="38" spans="2:12" ht="32.15" customHeight="1">
      <c r="B38" s="165" t="s">
        <v>273</v>
      </c>
      <c r="C38" s="135" t="s">
        <v>274</v>
      </c>
      <c r="D38" s="125" t="s">
        <v>275</v>
      </c>
      <c r="E38" s="140" t="s">
        <v>276</v>
      </c>
      <c r="F38" s="43"/>
      <c r="G38" s="154"/>
      <c r="H38" s="43"/>
      <c r="I38" s="56"/>
      <c r="J38" s="56"/>
      <c r="K38" s="42" t="s">
        <v>523</v>
      </c>
      <c r="L38" s="55"/>
    </row>
    <row r="39" spans="2:12" ht="64">
      <c r="B39" s="165"/>
      <c r="C39" s="135" t="s">
        <v>277</v>
      </c>
      <c r="D39" s="125" t="s">
        <v>278</v>
      </c>
      <c r="E39" s="139" t="s">
        <v>279</v>
      </c>
      <c r="F39" s="43"/>
      <c r="G39" s="155"/>
      <c r="H39" s="43"/>
      <c r="I39" s="56"/>
      <c r="J39" s="56"/>
      <c r="K39" s="42" t="s">
        <v>523</v>
      </c>
      <c r="L39" s="55"/>
    </row>
    <row r="40" spans="2:12" ht="113.5" customHeight="1">
      <c r="B40" s="165"/>
      <c r="C40" s="135" t="s">
        <v>280</v>
      </c>
      <c r="D40" s="125" t="s">
        <v>281</v>
      </c>
      <c r="E40" s="139" t="s">
        <v>282</v>
      </c>
      <c r="F40" s="43"/>
      <c r="G40" s="155"/>
      <c r="H40" s="44"/>
      <c r="I40" s="56"/>
      <c r="J40" s="56"/>
      <c r="K40" s="42" t="s">
        <v>523</v>
      </c>
      <c r="L40" s="55"/>
    </row>
    <row r="41" spans="2:12" ht="48">
      <c r="B41" s="165"/>
      <c r="C41" s="135" t="s">
        <v>283</v>
      </c>
      <c r="D41" s="125" t="s">
        <v>284</v>
      </c>
      <c r="E41" s="139" t="s">
        <v>285</v>
      </c>
      <c r="F41" s="43"/>
      <c r="G41" s="155"/>
      <c r="H41" s="44"/>
      <c r="I41" s="56"/>
      <c r="J41" s="56"/>
      <c r="K41" s="42" t="s">
        <v>523</v>
      </c>
      <c r="L41" s="55"/>
    </row>
    <row r="42" spans="2:12" ht="32.15" customHeight="1">
      <c r="B42" s="165" t="s">
        <v>286</v>
      </c>
      <c r="C42" s="135" t="s">
        <v>287</v>
      </c>
      <c r="D42" s="125" t="s">
        <v>288</v>
      </c>
      <c r="E42" s="141" t="s">
        <v>276</v>
      </c>
      <c r="F42" s="43"/>
      <c r="G42" s="155"/>
      <c r="I42" s="56"/>
      <c r="J42" s="56"/>
      <c r="K42" s="42" t="s">
        <v>523</v>
      </c>
      <c r="L42" s="55"/>
    </row>
    <row r="43" spans="2:12" ht="32">
      <c r="B43" s="165"/>
      <c r="C43" s="135" t="s">
        <v>289</v>
      </c>
      <c r="D43" s="125" t="s">
        <v>290</v>
      </c>
      <c r="E43" s="139" t="s">
        <v>291</v>
      </c>
      <c r="F43" s="43"/>
      <c r="G43" s="155"/>
      <c r="H43" s="43"/>
      <c r="I43" s="56"/>
      <c r="J43" s="56"/>
      <c r="K43" s="42" t="s">
        <v>523</v>
      </c>
      <c r="L43" s="55"/>
    </row>
    <row r="44" spans="2:12" ht="85" customHeight="1">
      <c r="B44" s="165"/>
      <c r="C44" s="135" t="s">
        <v>292</v>
      </c>
      <c r="D44" s="125" t="s">
        <v>293</v>
      </c>
      <c r="E44" s="139" t="s">
        <v>294</v>
      </c>
      <c r="F44" s="43"/>
      <c r="G44" s="155"/>
      <c r="H44" s="43"/>
      <c r="I44" s="56"/>
      <c r="J44" s="56"/>
      <c r="K44" s="42" t="s">
        <v>523</v>
      </c>
      <c r="L44" s="55"/>
    </row>
    <row r="45" spans="2:12" ht="50.15" customHeight="1">
      <c r="B45" s="165" t="s">
        <v>295</v>
      </c>
      <c r="C45" s="136" t="s">
        <v>296</v>
      </c>
      <c r="D45" s="121" t="s">
        <v>297</v>
      </c>
      <c r="E45" s="139" t="s">
        <v>298</v>
      </c>
      <c r="F45" s="43"/>
      <c r="G45" s="43"/>
      <c r="H45" s="43"/>
      <c r="I45" s="56"/>
      <c r="J45" s="56"/>
      <c r="K45" s="42" t="s">
        <v>523</v>
      </c>
      <c r="L45" s="55"/>
    </row>
    <row r="46" spans="2:12" ht="58" customHeight="1">
      <c r="B46" s="165"/>
      <c r="C46" s="136" t="s">
        <v>299</v>
      </c>
      <c r="D46" s="121" t="s">
        <v>300</v>
      </c>
      <c r="E46" s="139" t="s">
        <v>301</v>
      </c>
      <c r="F46" s="43"/>
      <c r="H46" s="43"/>
      <c r="I46" s="56"/>
      <c r="J46" s="56"/>
      <c r="K46" s="42" t="s">
        <v>523</v>
      </c>
      <c r="L46" s="55"/>
    </row>
    <row r="47" spans="2:12" ht="51.65" customHeight="1">
      <c r="B47" s="165"/>
      <c r="C47" s="136" t="s">
        <v>302</v>
      </c>
      <c r="D47" s="121" t="s">
        <v>303</v>
      </c>
      <c r="E47" s="139" t="s">
        <v>304</v>
      </c>
      <c r="F47" s="43"/>
      <c r="G47" s="43"/>
      <c r="H47" s="43"/>
      <c r="I47" s="56"/>
      <c r="J47" s="56"/>
      <c r="K47" s="42" t="s">
        <v>523</v>
      </c>
      <c r="L47" s="55"/>
    </row>
    <row r="48" spans="2:12" ht="54.65" customHeight="1">
      <c r="B48" s="165"/>
      <c r="C48" s="136" t="s">
        <v>305</v>
      </c>
      <c r="D48" s="121" t="s">
        <v>306</v>
      </c>
      <c r="E48" s="139" t="s">
        <v>307</v>
      </c>
      <c r="F48" s="43"/>
      <c r="G48" s="43"/>
      <c r="H48" s="43"/>
      <c r="I48" s="56"/>
      <c r="J48" s="56"/>
      <c r="K48" s="42" t="s">
        <v>523</v>
      </c>
      <c r="L48" s="55"/>
    </row>
    <row r="49" spans="2:12" ht="32">
      <c r="B49" s="165"/>
      <c r="C49" s="136" t="s">
        <v>308</v>
      </c>
      <c r="D49" s="121" t="s">
        <v>309</v>
      </c>
      <c r="E49" s="139" t="s">
        <v>310</v>
      </c>
      <c r="F49" s="61"/>
      <c r="G49" s="61"/>
      <c r="H49" s="61"/>
      <c r="I49" s="61"/>
      <c r="J49" s="61"/>
      <c r="K49" s="42" t="s">
        <v>523</v>
      </c>
      <c r="L49" s="62"/>
    </row>
    <row r="50" spans="2:12" ht="48">
      <c r="B50" s="165"/>
      <c r="C50" s="136" t="s">
        <v>311</v>
      </c>
      <c r="D50" s="121" t="s">
        <v>312</v>
      </c>
      <c r="E50" s="139" t="s">
        <v>313</v>
      </c>
      <c r="F50" s="61"/>
      <c r="G50" s="61"/>
      <c r="H50" s="61"/>
      <c r="I50" s="61"/>
      <c r="J50" s="61"/>
      <c r="K50" s="42" t="s">
        <v>523</v>
      </c>
      <c r="L50" s="62"/>
    </row>
    <row r="51" spans="2:12" ht="48">
      <c r="B51" s="165"/>
      <c r="C51" s="136" t="s">
        <v>314</v>
      </c>
      <c r="D51" s="121" t="s">
        <v>315</v>
      </c>
      <c r="E51" s="139" t="s">
        <v>316</v>
      </c>
      <c r="F51" s="61"/>
      <c r="G51" s="61"/>
      <c r="H51" s="61"/>
      <c r="I51" s="61"/>
      <c r="J51" s="61"/>
      <c r="K51" s="42" t="s">
        <v>523</v>
      </c>
      <c r="L51" s="62"/>
    </row>
    <row r="52" spans="2:12" ht="48">
      <c r="B52" s="165"/>
      <c r="C52" s="136" t="s">
        <v>317</v>
      </c>
      <c r="D52" s="121" t="s">
        <v>318</v>
      </c>
      <c r="E52" s="139" t="s">
        <v>319</v>
      </c>
      <c r="F52" s="61"/>
      <c r="G52" s="61"/>
      <c r="H52" s="61"/>
      <c r="I52" s="61"/>
      <c r="J52" s="61"/>
      <c r="K52" s="42" t="s">
        <v>523</v>
      </c>
      <c r="L52" s="62"/>
    </row>
    <row r="53" spans="2:12" ht="48">
      <c r="B53" s="165"/>
      <c r="C53" s="136" t="s">
        <v>320</v>
      </c>
      <c r="D53" s="121" t="s">
        <v>321</v>
      </c>
      <c r="E53" s="139" t="s">
        <v>322</v>
      </c>
      <c r="F53" s="61"/>
      <c r="G53" s="61"/>
      <c r="H53" s="61"/>
      <c r="I53" s="61"/>
      <c r="J53" s="61"/>
      <c r="K53" s="42" t="s">
        <v>523</v>
      </c>
      <c r="L53" s="62"/>
    </row>
    <row r="54" spans="2:12" ht="41.5" customHeight="1">
      <c r="B54" s="167" t="s">
        <v>323</v>
      </c>
      <c r="C54" s="135" t="s">
        <v>324</v>
      </c>
      <c r="D54" s="121" t="s">
        <v>325</v>
      </c>
      <c r="E54" s="139" t="s">
        <v>326</v>
      </c>
      <c r="F54" s="61"/>
      <c r="G54" s="151"/>
      <c r="H54" s="149"/>
      <c r="I54" s="61"/>
      <c r="J54" s="61"/>
      <c r="K54" s="42" t="s">
        <v>523</v>
      </c>
      <c r="L54" s="62"/>
    </row>
    <row r="55" spans="2:12" ht="32">
      <c r="B55" s="167"/>
      <c r="C55" s="135" t="s">
        <v>327</v>
      </c>
      <c r="D55" s="121" t="s">
        <v>328</v>
      </c>
      <c r="E55" s="139" t="s">
        <v>329</v>
      </c>
      <c r="F55" s="61"/>
      <c r="G55" s="149"/>
      <c r="H55" s="151"/>
      <c r="I55" s="61"/>
      <c r="J55" s="61"/>
      <c r="K55" s="42" t="s">
        <v>523</v>
      </c>
      <c r="L55" s="62"/>
    </row>
    <row r="56" spans="2:12" ht="54.75" customHeight="1">
      <c r="B56" s="167"/>
      <c r="C56" s="135" t="s">
        <v>330</v>
      </c>
      <c r="D56" s="121" t="s">
        <v>331</v>
      </c>
      <c r="E56" s="139" t="s">
        <v>332</v>
      </c>
      <c r="F56" s="61"/>
      <c r="G56" s="150"/>
      <c r="H56" s="149"/>
      <c r="I56" s="61"/>
      <c r="J56" s="61"/>
      <c r="K56" s="42" t="s">
        <v>523</v>
      </c>
      <c r="L56" s="62"/>
    </row>
    <row r="57" spans="2:12" ht="48">
      <c r="B57" s="168" t="s">
        <v>333</v>
      </c>
      <c r="C57" s="135" t="s">
        <v>334</v>
      </c>
      <c r="D57" s="121" t="s">
        <v>335</v>
      </c>
      <c r="E57" s="139" t="s">
        <v>336</v>
      </c>
      <c r="F57" s="61"/>
      <c r="G57" s="149"/>
      <c r="H57" s="149"/>
      <c r="I57" s="61"/>
      <c r="J57" s="61"/>
      <c r="K57" s="42" t="s">
        <v>523</v>
      </c>
      <c r="L57" s="62"/>
    </row>
    <row r="58" spans="2:12" ht="48">
      <c r="B58" s="168"/>
      <c r="C58" s="135" t="s">
        <v>337</v>
      </c>
      <c r="D58" s="121" t="s">
        <v>338</v>
      </c>
      <c r="E58" s="139" t="s">
        <v>339</v>
      </c>
      <c r="F58" s="61"/>
      <c r="G58" s="151"/>
      <c r="H58" s="61"/>
      <c r="I58" s="61"/>
      <c r="J58" s="61"/>
      <c r="K58" s="42" t="s">
        <v>523</v>
      </c>
      <c r="L58" s="62"/>
    </row>
    <row r="59" spans="2:12">
      <c r="B59" s="168"/>
      <c r="C59" s="135" t="s">
        <v>340</v>
      </c>
      <c r="D59" s="121" t="s">
        <v>341</v>
      </c>
      <c r="E59" s="141" t="s">
        <v>342</v>
      </c>
      <c r="F59" s="61"/>
      <c r="G59" s="149"/>
      <c r="H59" s="149"/>
      <c r="I59" s="61"/>
      <c r="J59" s="61"/>
      <c r="K59" s="42" t="s">
        <v>523</v>
      </c>
      <c r="L59" s="152"/>
    </row>
    <row r="60" spans="2:12" ht="80">
      <c r="B60" s="168" t="s">
        <v>343</v>
      </c>
      <c r="C60" s="137" t="s">
        <v>344</v>
      </c>
      <c r="D60" s="121" t="s">
        <v>345</v>
      </c>
      <c r="E60" s="139" t="s">
        <v>346</v>
      </c>
      <c r="F60" s="61"/>
      <c r="G60" s="61"/>
      <c r="H60" s="61"/>
      <c r="I60" s="61"/>
      <c r="J60" s="61"/>
      <c r="K60" s="42" t="s">
        <v>523</v>
      </c>
      <c r="L60" s="62"/>
    </row>
    <row r="61" spans="2:12" ht="80">
      <c r="B61" s="168"/>
      <c r="C61" s="137" t="s">
        <v>347</v>
      </c>
      <c r="D61" s="121" t="s">
        <v>348</v>
      </c>
      <c r="E61" s="139" t="s">
        <v>349</v>
      </c>
      <c r="F61" s="61"/>
      <c r="G61" s="61"/>
      <c r="H61" s="61"/>
      <c r="I61" s="61"/>
      <c r="J61" s="61"/>
      <c r="K61" s="42" t="s">
        <v>523</v>
      </c>
      <c r="L61" s="62"/>
    </row>
    <row r="62" spans="2:12" ht="48">
      <c r="B62" s="168"/>
      <c r="C62" s="137" t="s">
        <v>350</v>
      </c>
      <c r="D62" s="121" t="s">
        <v>351</v>
      </c>
      <c r="E62" s="139" t="s">
        <v>352</v>
      </c>
      <c r="F62" s="61"/>
      <c r="G62" s="61"/>
      <c r="H62" s="61"/>
      <c r="I62" s="61"/>
      <c r="J62" s="61"/>
      <c r="K62" s="42" t="s">
        <v>523</v>
      </c>
      <c r="L62" s="62"/>
    </row>
    <row r="63" spans="2:12" ht="57" customHeight="1">
      <c r="B63" s="168" t="s">
        <v>353</v>
      </c>
      <c r="C63" s="135" t="s">
        <v>354</v>
      </c>
      <c r="D63" s="121" t="s">
        <v>355</v>
      </c>
      <c r="E63" s="139" t="s">
        <v>356</v>
      </c>
      <c r="F63" s="61"/>
      <c r="G63" s="61"/>
      <c r="H63" s="61"/>
      <c r="I63" s="61"/>
      <c r="J63" s="61"/>
      <c r="K63" s="42" t="s">
        <v>523</v>
      </c>
      <c r="L63" s="62"/>
    </row>
    <row r="64" spans="2:12" ht="72.650000000000006" customHeight="1">
      <c r="B64" s="168"/>
      <c r="C64" s="135" t="s">
        <v>357</v>
      </c>
      <c r="D64" s="121" t="s">
        <v>358</v>
      </c>
      <c r="E64" s="139" t="s">
        <v>359</v>
      </c>
      <c r="F64" s="61"/>
      <c r="G64" s="61"/>
      <c r="H64" s="61"/>
      <c r="I64" s="61"/>
      <c r="J64" s="61"/>
      <c r="K64" s="42" t="s">
        <v>523</v>
      </c>
      <c r="L64" s="62"/>
    </row>
    <row r="65" spans="2:12" ht="64">
      <c r="B65" s="168"/>
      <c r="C65" s="135" t="s">
        <v>360</v>
      </c>
      <c r="D65" s="121" t="s">
        <v>361</v>
      </c>
      <c r="E65" s="139" t="s">
        <v>362</v>
      </c>
      <c r="F65" s="61"/>
      <c r="G65" s="61"/>
      <c r="H65" s="61"/>
      <c r="I65" s="61"/>
      <c r="J65" s="61"/>
      <c r="K65" s="42" t="s">
        <v>523</v>
      </c>
      <c r="L65" s="62"/>
    </row>
    <row r="66" spans="2:12" ht="64">
      <c r="B66" s="168"/>
      <c r="C66" s="135" t="s">
        <v>363</v>
      </c>
      <c r="D66" s="121" t="s">
        <v>364</v>
      </c>
      <c r="E66" s="139" t="s">
        <v>365</v>
      </c>
      <c r="F66" s="61"/>
      <c r="G66" s="61"/>
      <c r="H66" s="61"/>
      <c r="I66" s="61"/>
      <c r="J66" s="61"/>
      <c r="K66" s="42" t="s">
        <v>523</v>
      </c>
      <c r="L66" s="62"/>
    </row>
    <row r="67" spans="2:12" ht="48">
      <c r="B67" s="168"/>
      <c r="C67" s="135" t="s">
        <v>366</v>
      </c>
      <c r="D67" s="121" t="s">
        <v>367</v>
      </c>
      <c r="E67" s="139" t="s">
        <v>368</v>
      </c>
      <c r="F67" s="61"/>
      <c r="G67" s="61"/>
      <c r="H67" s="61"/>
      <c r="I67" s="61"/>
      <c r="J67" s="61"/>
      <c r="K67" s="42" t="s">
        <v>523</v>
      </c>
      <c r="L67" s="62"/>
    </row>
    <row r="68" spans="2:12" ht="54" customHeight="1">
      <c r="B68" s="168"/>
      <c r="C68" s="135" t="s">
        <v>369</v>
      </c>
      <c r="D68" s="121" t="s">
        <v>370</v>
      </c>
      <c r="E68" s="139" t="s">
        <v>371</v>
      </c>
      <c r="F68" s="61"/>
      <c r="G68" s="61"/>
      <c r="H68" s="61"/>
      <c r="I68" s="61"/>
      <c r="J68" s="61"/>
      <c r="K68" s="42" t="s">
        <v>523</v>
      </c>
      <c r="L68" s="62"/>
    </row>
    <row r="69" spans="2:12" ht="35.15" customHeight="1">
      <c r="B69" s="168" t="s">
        <v>372</v>
      </c>
      <c r="C69" s="135" t="s">
        <v>373</v>
      </c>
      <c r="D69" s="121" t="s">
        <v>374</v>
      </c>
      <c r="E69" s="139" t="s">
        <v>375</v>
      </c>
      <c r="F69" s="61"/>
      <c r="G69" s="61"/>
      <c r="H69" s="153"/>
      <c r="I69" s="61"/>
      <c r="J69" s="61"/>
      <c r="K69" s="42" t="s">
        <v>523</v>
      </c>
      <c r="L69" s="62"/>
    </row>
    <row r="70" spans="2:12" ht="48">
      <c r="B70" s="168"/>
      <c r="C70" s="135" t="s">
        <v>376</v>
      </c>
      <c r="D70" s="121" t="s">
        <v>377</v>
      </c>
      <c r="E70" s="139" t="s">
        <v>378</v>
      </c>
      <c r="F70" s="61"/>
      <c r="G70" s="61"/>
      <c r="H70" s="61"/>
      <c r="I70" s="61"/>
      <c r="J70" s="61"/>
      <c r="K70" s="42" t="s">
        <v>523</v>
      </c>
      <c r="L70" s="62"/>
    </row>
    <row r="71" spans="2:12" ht="80">
      <c r="B71" s="168"/>
      <c r="C71" s="135" t="s">
        <v>379</v>
      </c>
      <c r="D71" s="121" t="s">
        <v>380</v>
      </c>
      <c r="E71" s="139" t="s">
        <v>381</v>
      </c>
      <c r="F71" s="61"/>
      <c r="G71" s="61"/>
      <c r="H71" s="61"/>
      <c r="I71" s="61"/>
      <c r="J71" s="61"/>
      <c r="K71" s="42" t="s">
        <v>523</v>
      </c>
      <c r="L71" s="62"/>
    </row>
    <row r="72" spans="2:12" ht="80">
      <c r="B72" s="168"/>
      <c r="C72" s="135" t="s">
        <v>382</v>
      </c>
      <c r="D72" s="121" t="s">
        <v>383</v>
      </c>
      <c r="E72" s="140" t="s">
        <v>384</v>
      </c>
      <c r="F72" s="61"/>
      <c r="G72" s="61"/>
      <c r="H72" s="61"/>
      <c r="I72" s="61"/>
      <c r="J72" s="61"/>
      <c r="K72" s="42" t="s">
        <v>523</v>
      </c>
      <c r="L72" s="62"/>
    </row>
    <row r="73" spans="2:12" ht="32">
      <c r="B73" s="168"/>
      <c r="C73" s="135" t="s">
        <v>385</v>
      </c>
      <c r="D73" s="121" t="s">
        <v>386</v>
      </c>
      <c r="E73" s="140" t="s">
        <v>387</v>
      </c>
      <c r="F73" s="61"/>
      <c r="G73" s="61"/>
      <c r="H73" s="61"/>
      <c r="I73" s="61"/>
      <c r="J73" s="61"/>
      <c r="K73" s="42" t="s">
        <v>523</v>
      </c>
      <c r="L73" s="62"/>
    </row>
    <row r="74" spans="2:12" ht="144">
      <c r="B74" s="168"/>
      <c r="C74" s="135" t="s">
        <v>388</v>
      </c>
      <c r="D74" s="121" t="s">
        <v>389</v>
      </c>
      <c r="E74" s="139" t="s">
        <v>390</v>
      </c>
      <c r="F74" s="61"/>
      <c r="G74" s="61"/>
      <c r="H74" s="61"/>
      <c r="I74" s="61"/>
      <c r="J74" s="61"/>
      <c r="K74" s="42" t="s">
        <v>523</v>
      </c>
      <c r="L74" s="62"/>
    </row>
    <row r="75" spans="2:12" ht="29">
      <c r="B75" s="132" t="s">
        <v>391</v>
      </c>
      <c r="C75" s="135" t="s">
        <v>392</v>
      </c>
      <c r="D75" s="121" t="s">
        <v>393</v>
      </c>
      <c r="E75" s="140" t="s">
        <v>394</v>
      </c>
      <c r="F75" s="61"/>
      <c r="G75" s="61"/>
      <c r="H75" s="148"/>
      <c r="I75" s="61"/>
      <c r="J75" s="61"/>
      <c r="K75" s="42" t="s">
        <v>523</v>
      </c>
      <c r="L75" s="62"/>
    </row>
    <row r="76" spans="2:12" ht="94.5" customHeight="1">
      <c r="B76" s="168" t="s">
        <v>395</v>
      </c>
      <c r="C76" s="135" t="s">
        <v>396</v>
      </c>
      <c r="D76" s="121" t="s">
        <v>397</v>
      </c>
      <c r="E76" s="139" t="s">
        <v>398</v>
      </c>
      <c r="F76" s="61"/>
      <c r="G76" s="149"/>
      <c r="H76" s="149"/>
      <c r="I76" s="61"/>
      <c r="J76" s="61"/>
      <c r="K76" s="42" t="s">
        <v>523</v>
      </c>
      <c r="L76" s="62"/>
    </row>
    <row r="77" spans="2:12" ht="74.5" customHeight="1">
      <c r="B77" s="168"/>
      <c r="C77" s="135" t="s">
        <v>399</v>
      </c>
      <c r="D77" s="121" t="s">
        <v>400</v>
      </c>
      <c r="E77" s="139" t="s">
        <v>401</v>
      </c>
      <c r="F77" s="61"/>
      <c r="G77" s="149"/>
      <c r="H77" s="149"/>
      <c r="I77" s="61"/>
      <c r="J77" s="61"/>
      <c r="K77" s="42" t="s">
        <v>523</v>
      </c>
      <c r="L77" s="62"/>
    </row>
    <row r="78" spans="2:12" ht="68.150000000000006" customHeight="1">
      <c r="B78" s="168"/>
      <c r="C78" s="135" t="s">
        <v>402</v>
      </c>
      <c r="D78" s="121" t="s">
        <v>403</v>
      </c>
      <c r="E78" s="139" t="s">
        <v>404</v>
      </c>
      <c r="F78" s="61"/>
      <c r="G78" s="149"/>
      <c r="H78" s="149"/>
      <c r="I78" s="61"/>
      <c r="J78" s="61"/>
      <c r="K78" s="42" t="s">
        <v>523</v>
      </c>
      <c r="L78" s="62"/>
    </row>
    <row r="79" spans="2:12" ht="35.15" customHeight="1">
      <c r="B79" s="168" t="s">
        <v>405</v>
      </c>
      <c r="C79" s="135" t="s">
        <v>406</v>
      </c>
      <c r="D79" s="121" t="s">
        <v>407</v>
      </c>
      <c r="E79" s="139" t="s">
        <v>408</v>
      </c>
      <c r="F79" s="61"/>
      <c r="G79" s="61"/>
      <c r="H79" s="61"/>
      <c r="I79" s="61"/>
      <c r="J79" s="61"/>
      <c r="K79" s="42" t="s">
        <v>523</v>
      </c>
      <c r="L79" s="62"/>
    </row>
    <row r="80" spans="2:12" ht="32">
      <c r="B80" s="168"/>
      <c r="C80" s="135" t="s">
        <v>409</v>
      </c>
      <c r="D80" s="121" t="s">
        <v>410</v>
      </c>
      <c r="E80" s="139" t="s">
        <v>411</v>
      </c>
      <c r="F80" s="61"/>
      <c r="G80" s="61"/>
      <c r="H80" s="61"/>
      <c r="I80" s="61"/>
      <c r="J80" s="61"/>
      <c r="K80" s="42" t="s">
        <v>523</v>
      </c>
      <c r="L80" s="62"/>
    </row>
    <row r="81" spans="2:12" ht="64">
      <c r="B81" s="168"/>
      <c r="C81" s="135" t="s">
        <v>412</v>
      </c>
      <c r="D81" s="121" t="s">
        <v>413</v>
      </c>
      <c r="E81" s="139" t="s">
        <v>414</v>
      </c>
      <c r="F81" s="61"/>
      <c r="G81" s="61"/>
      <c r="H81" s="61"/>
      <c r="I81" s="61"/>
      <c r="J81" s="61"/>
      <c r="K81" s="42" t="s">
        <v>523</v>
      </c>
      <c r="L81" s="62"/>
    </row>
    <row r="82" spans="2:12" ht="80">
      <c r="B82" s="168"/>
      <c r="C82" s="135" t="s">
        <v>415</v>
      </c>
      <c r="D82" s="121" t="s">
        <v>416</v>
      </c>
      <c r="E82" s="139" t="s">
        <v>417</v>
      </c>
      <c r="F82" s="61"/>
      <c r="G82" s="61"/>
      <c r="H82" s="61"/>
      <c r="I82" s="61"/>
      <c r="J82" s="61"/>
      <c r="K82" s="42" t="s">
        <v>523</v>
      </c>
      <c r="L82" s="62"/>
    </row>
    <row r="83" spans="2:12" ht="48">
      <c r="B83" s="168"/>
      <c r="C83" s="135" t="s">
        <v>418</v>
      </c>
      <c r="D83" s="121" t="s">
        <v>419</v>
      </c>
      <c r="E83" s="139" t="s">
        <v>420</v>
      </c>
      <c r="F83" s="61"/>
      <c r="G83" s="61"/>
      <c r="H83" s="61"/>
      <c r="I83" s="61"/>
      <c r="J83" s="61"/>
      <c r="K83" s="42" t="s">
        <v>523</v>
      </c>
      <c r="L83" s="62"/>
    </row>
    <row r="84" spans="2:12" ht="70" customHeight="1">
      <c r="B84" s="168" t="s">
        <v>421</v>
      </c>
      <c r="C84" s="135" t="s">
        <v>422</v>
      </c>
      <c r="D84" s="121" t="s">
        <v>423</v>
      </c>
      <c r="E84" s="142" t="s">
        <v>424</v>
      </c>
      <c r="F84" s="61"/>
      <c r="G84" s="61"/>
      <c r="H84" s="61"/>
      <c r="I84" s="61"/>
      <c r="J84" s="61"/>
      <c r="K84" s="42" t="s">
        <v>523</v>
      </c>
      <c r="L84" s="62"/>
    </row>
    <row r="85" spans="2:12" ht="96">
      <c r="B85" s="168"/>
      <c r="C85" s="135" t="s">
        <v>425</v>
      </c>
      <c r="D85" s="121" t="s">
        <v>426</v>
      </c>
      <c r="E85" s="160" t="s">
        <v>427</v>
      </c>
      <c r="F85" s="61"/>
      <c r="G85" s="61"/>
      <c r="H85" s="61"/>
      <c r="I85" s="61"/>
      <c r="J85" s="61"/>
      <c r="K85" s="42" t="s">
        <v>523</v>
      </c>
      <c r="L85" s="62"/>
    </row>
    <row r="86" spans="2:12" ht="80">
      <c r="B86" s="168"/>
      <c r="C86" s="135" t="s">
        <v>428</v>
      </c>
      <c r="D86" s="121" t="s">
        <v>429</v>
      </c>
      <c r="E86" s="160" t="s">
        <v>430</v>
      </c>
      <c r="F86" s="61"/>
      <c r="G86" s="61"/>
      <c r="H86" s="61"/>
      <c r="I86" s="61"/>
      <c r="J86" s="61"/>
      <c r="K86" s="42" t="s">
        <v>523</v>
      </c>
      <c r="L86" s="62"/>
    </row>
    <row r="87" spans="2:12" ht="128">
      <c r="B87" s="168"/>
      <c r="C87" s="135" t="s">
        <v>431</v>
      </c>
      <c r="D87" s="121" t="s">
        <v>432</v>
      </c>
      <c r="E87" s="160" t="s">
        <v>433</v>
      </c>
      <c r="F87" s="61"/>
      <c r="G87" s="61"/>
      <c r="H87" s="61"/>
      <c r="I87" s="61"/>
      <c r="J87" s="61"/>
      <c r="K87" s="42" t="s">
        <v>523</v>
      </c>
      <c r="L87" s="62"/>
    </row>
    <row r="88" spans="2:12" ht="32">
      <c r="B88" s="168"/>
      <c r="C88" s="135" t="s">
        <v>434</v>
      </c>
      <c r="D88" s="121" t="s">
        <v>435</v>
      </c>
      <c r="E88" s="139" t="s">
        <v>436</v>
      </c>
      <c r="F88" s="61"/>
      <c r="G88" s="61"/>
      <c r="H88" s="61"/>
      <c r="I88" s="61"/>
      <c r="J88" s="61"/>
      <c r="K88" s="42" t="s">
        <v>523</v>
      </c>
      <c r="L88" s="62"/>
    </row>
    <row r="89" spans="2:12" ht="48">
      <c r="B89" s="168"/>
      <c r="C89" s="135" t="s">
        <v>437</v>
      </c>
      <c r="D89" s="121" t="s">
        <v>438</v>
      </c>
      <c r="E89" s="139" t="s">
        <v>439</v>
      </c>
      <c r="F89" s="61"/>
      <c r="G89" s="61"/>
      <c r="H89" s="61"/>
      <c r="I89" s="61"/>
      <c r="J89" s="61"/>
      <c r="K89" s="42" t="s">
        <v>523</v>
      </c>
      <c r="L89" s="62"/>
    </row>
    <row r="90" spans="2:12" ht="48">
      <c r="B90" s="168"/>
      <c r="C90" s="135" t="s">
        <v>440</v>
      </c>
      <c r="D90" s="121" t="s">
        <v>441</v>
      </c>
      <c r="E90" s="147" t="s">
        <v>442</v>
      </c>
      <c r="F90" s="61"/>
      <c r="G90" s="61"/>
      <c r="H90" s="153"/>
      <c r="I90" s="61"/>
      <c r="J90" s="61"/>
      <c r="K90" s="42" t="s">
        <v>523</v>
      </c>
      <c r="L90" s="62"/>
    </row>
    <row r="91" spans="2:12">
      <c r="B91" s="168"/>
      <c r="C91" s="135" t="s">
        <v>443</v>
      </c>
      <c r="D91" s="121" t="s">
        <v>444</v>
      </c>
      <c r="E91" s="140" t="s">
        <v>445</v>
      </c>
      <c r="F91" s="61"/>
      <c r="G91" s="61"/>
      <c r="H91" s="61"/>
      <c r="I91" s="61"/>
      <c r="J91" s="61"/>
      <c r="K91" s="42" t="s">
        <v>523</v>
      </c>
      <c r="L91" s="62"/>
    </row>
    <row r="92" spans="2:12" ht="48">
      <c r="B92" s="168"/>
      <c r="C92" s="135" t="s">
        <v>446</v>
      </c>
      <c r="D92" s="121" t="s">
        <v>447</v>
      </c>
      <c r="E92" s="139" t="s">
        <v>448</v>
      </c>
      <c r="F92" s="61"/>
      <c r="G92" s="61"/>
      <c r="H92" s="61"/>
      <c r="I92" s="61"/>
      <c r="J92" s="61"/>
      <c r="K92" s="42" t="s">
        <v>523</v>
      </c>
      <c r="L92" s="62"/>
    </row>
    <row r="93" spans="2:12" ht="48">
      <c r="B93" s="168"/>
      <c r="C93" s="135" t="s">
        <v>449</v>
      </c>
      <c r="D93" s="121" t="s">
        <v>450</v>
      </c>
      <c r="E93" s="147" t="s">
        <v>451</v>
      </c>
      <c r="F93" s="61"/>
      <c r="G93" s="61"/>
      <c r="H93" s="61"/>
      <c r="I93" s="61"/>
      <c r="J93" s="61"/>
      <c r="K93" s="42" t="s">
        <v>523</v>
      </c>
      <c r="L93" s="62"/>
    </row>
    <row r="94" spans="2:12" ht="96">
      <c r="B94" s="168"/>
      <c r="C94" s="135" t="s">
        <v>452</v>
      </c>
      <c r="D94" s="121" t="s">
        <v>453</v>
      </c>
      <c r="E94" s="147" t="s">
        <v>454</v>
      </c>
      <c r="F94" s="61"/>
      <c r="G94" s="61"/>
      <c r="H94" s="153"/>
      <c r="I94" s="61"/>
      <c r="J94" s="61"/>
      <c r="K94" s="42" t="s">
        <v>523</v>
      </c>
      <c r="L94" s="62"/>
    </row>
    <row r="95" spans="2:12" ht="32">
      <c r="B95" s="168"/>
      <c r="C95" s="135" t="s">
        <v>455</v>
      </c>
      <c r="D95" s="121" t="s">
        <v>456</v>
      </c>
      <c r="E95" s="139" t="s">
        <v>457</v>
      </c>
      <c r="F95" s="61"/>
      <c r="G95" s="61"/>
      <c r="H95" s="61"/>
      <c r="I95" s="61"/>
      <c r="J95" s="61"/>
      <c r="K95" s="42" t="s">
        <v>523</v>
      </c>
      <c r="L95" s="62"/>
    </row>
    <row r="96" spans="2:12" ht="32">
      <c r="B96" s="168"/>
      <c r="C96" s="135" t="s">
        <v>458</v>
      </c>
      <c r="D96" s="121" t="s">
        <v>459</v>
      </c>
      <c r="E96" s="139" t="s">
        <v>460</v>
      </c>
      <c r="F96" s="61"/>
      <c r="G96" s="61"/>
      <c r="H96" s="61"/>
      <c r="I96" s="61"/>
      <c r="J96" s="61"/>
      <c r="K96" s="42" t="s">
        <v>523</v>
      </c>
      <c r="L96" s="62"/>
    </row>
    <row r="97" spans="2:12" ht="80">
      <c r="B97" s="168"/>
      <c r="C97" s="135" t="s">
        <v>461</v>
      </c>
      <c r="D97" s="121" t="s">
        <v>462</v>
      </c>
      <c r="E97" s="143" t="s">
        <v>463</v>
      </c>
      <c r="F97" s="61"/>
      <c r="G97" s="61"/>
      <c r="H97" s="61"/>
      <c r="I97" s="61"/>
      <c r="J97" s="61"/>
      <c r="K97" s="42" t="s">
        <v>523</v>
      </c>
      <c r="L97" s="62"/>
    </row>
    <row r="98" spans="2:12" ht="29">
      <c r="B98" s="168"/>
      <c r="C98" s="135" t="s">
        <v>464</v>
      </c>
      <c r="D98" s="121" t="s">
        <v>465</v>
      </c>
      <c r="E98" s="144" t="s">
        <v>466</v>
      </c>
      <c r="F98" s="61"/>
      <c r="G98" s="61"/>
      <c r="H98" s="61"/>
      <c r="I98" s="61"/>
      <c r="J98" s="61"/>
      <c r="K98" s="42" t="s">
        <v>523</v>
      </c>
      <c r="L98" s="62"/>
    </row>
    <row r="99" spans="2:12" ht="29">
      <c r="B99" s="168"/>
      <c r="C99" s="135" t="s">
        <v>467</v>
      </c>
      <c r="D99" s="121" t="s">
        <v>468</v>
      </c>
      <c r="E99" s="144" t="s">
        <v>469</v>
      </c>
      <c r="F99" s="61"/>
      <c r="G99" s="61"/>
      <c r="H99" s="61"/>
      <c r="I99" s="61"/>
      <c r="J99" s="61"/>
      <c r="K99" s="42" t="s">
        <v>523</v>
      </c>
      <c r="L99" s="62"/>
    </row>
    <row r="100" spans="2:12" ht="48">
      <c r="B100" s="168"/>
      <c r="C100" s="135" t="s">
        <v>470</v>
      </c>
      <c r="D100" s="121" t="s">
        <v>471</v>
      </c>
      <c r="E100" s="139" t="s">
        <v>472</v>
      </c>
      <c r="F100" s="61"/>
      <c r="G100" s="61"/>
      <c r="H100" s="61"/>
      <c r="I100" s="61"/>
      <c r="J100" s="61"/>
      <c r="K100" s="42" t="s">
        <v>523</v>
      </c>
      <c r="L100" s="62"/>
    </row>
    <row r="101" spans="2:12" ht="64">
      <c r="B101" s="168"/>
      <c r="C101" s="135" t="s">
        <v>473</v>
      </c>
      <c r="D101" s="121" t="s">
        <v>474</v>
      </c>
      <c r="E101" s="139" t="s">
        <v>475</v>
      </c>
      <c r="F101" s="61"/>
      <c r="G101" s="61"/>
      <c r="H101" s="61"/>
      <c r="I101" s="61"/>
      <c r="J101" s="61"/>
      <c r="K101" s="42" t="s">
        <v>523</v>
      </c>
      <c r="L101" s="62"/>
    </row>
    <row r="102" spans="2:12" ht="32">
      <c r="B102" s="168" t="s">
        <v>476</v>
      </c>
      <c r="C102" s="135" t="s">
        <v>477</v>
      </c>
      <c r="D102" s="121" t="s">
        <v>478</v>
      </c>
      <c r="E102" s="140" t="s">
        <v>479</v>
      </c>
      <c r="F102" s="61"/>
      <c r="G102" s="61"/>
      <c r="H102" s="61"/>
      <c r="I102" s="61"/>
      <c r="J102" s="61"/>
      <c r="K102" s="42" t="s">
        <v>523</v>
      </c>
      <c r="L102" s="62"/>
    </row>
    <row r="103" spans="2:12" ht="32">
      <c r="B103" s="167"/>
      <c r="C103" s="135" t="s">
        <v>480</v>
      </c>
      <c r="D103" s="121" t="s">
        <v>481</v>
      </c>
      <c r="E103" s="147" t="s">
        <v>482</v>
      </c>
      <c r="F103" s="61"/>
      <c r="G103" s="61"/>
      <c r="H103" s="61"/>
      <c r="I103" s="61"/>
      <c r="J103" s="61"/>
      <c r="K103" s="42" t="s">
        <v>523</v>
      </c>
      <c r="L103" s="62"/>
    </row>
    <row r="104" spans="2:12" ht="32">
      <c r="B104" s="167"/>
      <c r="C104" s="135" t="s">
        <v>483</v>
      </c>
      <c r="D104" s="121" t="s">
        <v>484</v>
      </c>
      <c r="E104" s="140" t="s">
        <v>485</v>
      </c>
      <c r="F104" s="61"/>
      <c r="G104" s="61"/>
      <c r="H104" s="61"/>
      <c r="I104" s="61"/>
      <c r="J104" s="61"/>
      <c r="K104" s="42" t="s">
        <v>523</v>
      </c>
      <c r="L104" s="62"/>
    </row>
    <row r="105" spans="2:12" ht="64">
      <c r="B105" s="167"/>
      <c r="C105" s="135" t="s">
        <v>486</v>
      </c>
      <c r="D105" s="121" t="s">
        <v>487</v>
      </c>
      <c r="E105" s="139" t="s">
        <v>488</v>
      </c>
      <c r="F105" s="61"/>
      <c r="G105" s="61"/>
      <c r="H105" s="61"/>
      <c r="I105" s="61"/>
      <c r="J105" s="61"/>
      <c r="K105" s="42" t="s">
        <v>523</v>
      </c>
      <c r="L105" s="62"/>
    </row>
    <row r="106" spans="2:12" ht="48">
      <c r="B106" s="167"/>
      <c r="C106" s="135" t="s">
        <v>489</v>
      </c>
      <c r="D106" s="121" t="s">
        <v>490</v>
      </c>
      <c r="E106" s="139" t="s">
        <v>491</v>
      </c>
      <c r="F106" s="61"/>
      <c r="G106" s="61"/>
      <c r="H106" s="61"/>
      <c r="I106" s="61"/>
      <c r="J106" s="61"/>
      <c r="K106" s="42" t="s">
        <v>523</v>
      </c>
      <c r="L106" s="62"/>
    </row>
    <row r="107" spans="2:12" ht="32">
      <c r="B107" s="167"/>
      <c r="C107" s="135" t="s">
        <v>492</v>
      </c>
      <c r="D107" s="121" t="s">
        <v>493</v>
      </c>
      <c r="E107" s="139" t="s">
        <v>494</v>
      </c>
      <c r="F107" s="61"/>
      <c r="G107" s="159"/>
      <c r="H107" s="61"/>
      <c r="I107" s="61"/>
      <c r="J107" s="61"/>
      <c r="K107" s="42" t="s">
        <v>523</v>
      </c>
      <c r="L107" s="62"/>
    </row>
    <row r="108" spans="2:12" ht="32">
      <c r="B108" s="132" t="s">
        <v>495</v>
      </c>
      <c r="C108" s="135" t="s">
        <v>496</v>
      </c>
      <c r="D108" s="121" t="s">
        <v>497</v>
      </c>
      <c r="E108" s="139" t="s">
        <v>498</v>
      </c>
      <c r="F108" s="61"/>
      <c r="G108" s="61"/>
      <c r="H108" s="61"/>
      <c r="I108" s="61"/>
      <c r="J108" s="61"/>
      <c r="K108" s="42" t="s">
        <v>523</v>
      </c>
      <c r="L108" s="62"/>
    </row>
    <row r="109" spans="2:12" ht="35">
      <c r="B109" s="133" t="s">
        <v>499</v>
      </c>
      <c r="C109" s="135" t="s">
        <v>500</v>
      </c>
      <c r="D109" s="121" t="s">
        <v>501</v>
      </c>
      <c r="E109" s="140" t="s">
        <v>502</v>
      </c>
      <c r="F109" s="61"/>
      <c r="G109" s="61"/>
      <c r="H109" s="61"/>
      <c r="I109" s="61"/>
      <c r="J109" s="61"/>
      <c r="K109" s="42" t="s">
        <v>523</v>
      </c>
      <c r="L109" s="62"/>
    </row>
    <row r="110" spans="2:12" ht="59.15" customHeight="1">
      <c r="B110" s="168" t="s">
        <v>503</v>
      </c>
      <c r="C110" s="135" t="s">
        <v>504</v>
      </c>
      <c r="D110" s="121" t="s">
        <v>505</v>
      </c>
      <c r="E110" s="140" t="s">
        <v>506</v>
      </c>
      <c r="F110" s="61"/>
      <c r="G110" s="61"/>
      <c r="H110" s="61"/>
      <c r="I110" s="61"/>
      <c r="J110" s="61"/>
      <c r="K110" s="42" t="s">
        <v>523</v>
      </c>
      <c r="L110" s="62"/>
    </row>
    <row r="111" spans="2:12" ht="105" customHeight="1">
      <c r="B111" s="168"/>
      <c r="C111" s="135" t="s">
        <v>507</v>
      </c>
      <c r="D111" s="121" t="s">
        <v>508</v>
      </c>
      <c r="E111" s="139" t="s">
        <v>509</v>
      </c>
      <c r="F111" s="61"/>
      <c r="G111" s="61"/>
      <c r="H111" s="61"/>
      <c r="I111" s="61"/>
      <c r="J111" s="61"/>
      <c r="K111" s="42" t="s">
        <v>523</v>
      </c>
      <c r="L111" s="62"/>
    </row>
    <row r="112" spans="2:12" ht="32">
      <c r="B112" s="168"/>
      <c r="C112" s="135" t="s">
        <v>510</v>
      </c>
      <c r="D112" s="121" t="s">
        <v>511</v>
      </c>
      <c r="E112" s="139" t="s">
        <v>512</v>
      </c>
      <c r="F112" s="61"/>
      <c r="G112" s="61"/>
      <c r="H112" s="61"/>
      <c r="I112" s="61"/>
      <c r="J112" s="61"/>
      <c r="K112" s="42" t="s">
        <v>523</v>
      </c>
      <c r="L112" s="62"/>
    </row>
    <row r="113" spans="2:12" ht="29">
      <c r="B113" s="168"/>
      <c r="C113" s="135" t="s">
        <v>513</v>
      </c>
      <c r="D113" s="121" t="s">
        <v>514</v>
      </c>
      <c r="E113" s="140" t="s">
        <v>515</v>
      </c>
      <c r="F113" s="61"/>
      <c r="G113" s="61"/>
      <c r="H113" s="61"/>
      <c r="I113" s="61"/>
      <c r="J113" s="61"/>
      <c r="K113" s="42" t="s">
        <v>523</v>
      </c>
      <c r="L113" s="62"/>
    </row>
    <row r="114" spans="2:12" ht="32">
      <c r="B114" s="167" t="s">
        <v>516</v>
      </c>
      <c r="C114" s="135" t="s">
        <v>517</v>
      </c>
      <c r="D114" s="121" t="s">
        <v>518</v>
      </c>
      <c r="E114" s="140" t="s">
        <v>519</v>
      </c>
      <c r="F114" s="61"/>
      <c r="G114" s="61"/>
      <c r="H114" s="61"/>
      <c r="I114" s="61"/>
      <c r="J114" s="61"/>
      <c r="K114" s="42" t="s">
        <v>523</v>
      </c>
      <c r="L114" s="62"/>
    </row>
    <row r="115" spans="2:12">
      <c r="B115" s="169"/>
      <c r="C115" s="138" t="s">
        <v>520</v>
      </c>
      <c r="D115" s="126" t="s">
        <v>521</v>
      </c>
      <c r="E115" s="145" t="s">
        <v>522</v>
      </c>
      <c r="F115" s="63"/>
      <c r="G115" s="63"/>
      <c r="H115" s="63"/>
      <c r="I115" s="63"/>
      <c r="J115" s="63"/>
      <c r="K115" s="42" t="s">
        <v>523</v>
      </c>
      <c r="L115" s="64"/>
    </row>
  </sheetData>
  <mergeCells count="18">
    <mergeCell ref="B114:B115"/>
    <mergeCell ref="B76:B78"/>
    <mergeCell ref="B79:B83"/>
    <mergeCell ref="B84:B101"/>
    <mergeCell ref="B102:B107"/>
    <mergeCell ref="B110:B113"/>
    <mergeCell ref="B54:B56"/>
    <mergeCell ref="B57:B59"/>
    <mergeCell ref="B60:B62"/>
    <mergeCell ref="B63:B68"/>
    <mergeCell ref="B69:B74"/>
    <mergeCell ref="B45:B53"/>
    <mergeCell ref="B2:C8"/>
    <mergeCell ref="B11:B18"/>
    <mergeCell ref="B19:B34"/>
    <mergeCell ref="B35:B36"/>
    <mergeCell ref="B38:B41"/>
    <mergeCell ref="B42:B44"/>
  </mergeCells>
  <phoneticPr fontId="2" type="noConversion"/>
  <conditionalFormatting sqref="K11:K115">
    <cfRule type="cellIs" dxfId="6" priority="1" operator="equal">
      <formula>"웨이버"</formula>
    </cfRule>
    <cfRule type="cellIs" dxfId="5" priority="2" operator="equal">
      <formula>"불충분"</formula>
    </cfRule>
    <cfRule type="cellIs" dxfId="4" priority="3" operator="equal">
      <formula>"OK"</formula>
    </cfRule>
    <cfRule type="cellIs" dxfId="3" priority="4" operator="equal">
      <formula>"미진행"</formula>
    </cfRule>
    <cfRule type="cellIs" dxfId="2" priority="5" operator="equal">
      <formula>"기검증"</formula>
    </cfRule>
    <cfRule type="cellIs" dxfId="1" priority="6" operator="equal">
      <formula>"진행중"</formula>
    </cfRule>
    <cfRule type="cellIs" dxfId="0" priority="7" operator="equal">
      <formula>"해당사항없음"</formula>
    </cfRule>
  </conditionalFormatting>
  <dataValidations count="4">
    <dataValidation type="textLength" operator="greaterThan" showInputMessage="1" showErrorMessage="1" errorTitle="Please provide a valid input" error="Please type the appropriate reason." promptTitle="Please confirm:" prompt="Please provide valid reason if the comment is rejected. If you have accepted a comment to rephrase, please provide the valid input." sqref="J2" xr:uid="{1AFE990B-D83F-4EC7-B91D-1D67310B7415}">
      <formula1>3</formula1>
    </dataValidation>
    <dataValidation type="textLength" operator="greaterThan" allowBlank="1" showInputMessage="1" showErrorMessage="1" errorTitle="Please enter a valid input" error="Type the author's name here" sqref="J5:J8" xr:uid="{0A86EEFF-96B4-4B93-9114-B90D308C214F}">
      <formula1>0</formula1>
    </dataValidation>
    <dataValidation type="textLength" operator="greaterThan" allowBlank="1" showInputMessage="1" showErrorMessage="1" errorTitle="Please enter a valid input" error="Type the name of the editor (technical writer) here." sqref="J3:J4" xr:uid="{B42D11B7-11B5-48D9-9D06-69C5AB148215}">
      <formula1>2</formula1>
    </dataValidation>
    <dataValidation type="list" allowBlank="1" showInputMessage="1" showErrorMessage="1" sqref="K11:K115" xr:uid="{90396050-0980-4ACE-B5CB-F2203069B75C}">
      <formula1>"OK,웨이버,불충분,해당사항없음,미진행,기검증,진행중"</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E3311048843E854E807D49DB33CE1450" ma:contentTypeVersion="4" ma:contentTypeDescription="새 문서를 만듭니다." ma:contentTypeScope="" ma:versionID="fd56b0f8d81960d9f1b44cdb356a441a">
  <xsd:schema xmlns:xsd="http://www.w3.org/2001/XMLSchema" xmlns:xs="http://www.w3.org/2001/XMLSchema" xmlns:p="http://schemas.microsoft.com/office/2006/metadata/properties" xmlns:ns2="4d10594e-7e37-4288-bf97-cc36ee03b62f" targetNamespace="http://schemas.microsoft.com/office/2006/metadata/properties" ma:root="true" ma:fieldsID="18b28213dcc725a095bedf249dd84669" ns2:_="">
    <xsd:import namespace="4d10594e-7e37-4288-bf97-cc36ee03b62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0594e-7e37-4288-bf97-cc36ee03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81E7F6-109A-4769-8B18-9BC6507E441D}"/>
</file>

<file path=customXml/itemProps2.xml><?xml version="1.0" encoding="utf-8"?>
<ds:datastoreItem xmlns:ds="http://schemas.openxmlformats.org/officeDocument/2006/customXml" ds:itemID="{3DC1085E-8AF6-4162-A4BD-FFC6F7457E3A}">
  <ds:schemaRefs>
    <ds:schemaRef ds:uri="http://schemas.microsoft.com/sharepoint/v3/contenttype/forms"/>
  </ds:schemaRefs>
</ds:datastoreItem>
</file>

<file path=customXml/itemProps3.xml><?xml version="1.0" encoding="utf-8"?>
<ds:datastoreItem xmlns:ds="http://schemas.openxmlformats.org/officeDocument/2006/customXml" ds:itemID="{C681EBC3-7DAE-4850-B991-01D23453E538}">
  <ds:schemaRefs>
    <ds:schemaRef ds:uri="http://schemas.microsoft.com/office/2006/metadata/properties"/>
    <ds:schemaRef ds:uri="http://schemas.microsoft.com/office/infopath/2007/PartnerControls"/>
    <ds:schemaRef ds:uri="13494338-681f-4176-8384-504e8bc5e32c"/>
    <ds:schemaRef ds:uri="afc934d1-8485-44eb-ae6d-e394a5d06f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0.Revision history</vt:lpstr>
      <vt:lpstr>1 Design flow</vt:lpstr>
      <vt:lpstr>2 Changing</vt:lpstr>
      <vt:lpstr>3 IP Design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Bongjun Lee</dc:creator>
  <cp:keywords/>
  <dc:description/>
  <cp:lastModifiedBy>김 동남</cp:lastModifiedBy>
  <cp:revision/>
  <dcterms:created xsi:type="dcterms:W3CDTF">2022-10-25T05:48:54Z</dcterms:created>
  <dcterms:modified xsi:type="dcterms:W3CDTF">2024-04-24T06:57:15Z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0x010100E3311048843E854E807D49DB33CE1450</vt:lpwstr>
  </property>
</Properties>
</file>